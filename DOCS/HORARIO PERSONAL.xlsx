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hidden" name="HEIDI" sheetId="2" r:id="rId5"/>
    <sheet state="hidden" name="ENEXIS" sheetId="3" r:id="rId6"/>
    <sheet state="hidden" name="CRISTOBAL" sheetId="4" r:id="rId7"/>
    <sheet state="hidden" name="CRISTOBAL02" sheetId="5" r:id="rId8"/>
  </sheets>
  <definedNames/>
  <calcPr/>
  <extLst>
    <ext uri="GoogleSheetsCustomDataVersion2">
      <go:sheetsCustomData xmlns:go="http://customooxmlschemas.google.com/" r:id="rId9" roundtripDataChecksum="3AQwbbNJs+CXm2+NEkyfyCUaEYSQ0og2vlUujgSq8Vs="/>
    </ext>
  </extLst>
</workbook>
</file>

<file path=xl/sharedStrings.xml><?xml version="1.0" encoding="utf-8"?>
<sst xmlns="http://schemas.openxmlformats.org/spreadsheetml/2006/main" count="506" uniqueCount="84">
  <si>
    <t xml:space="preserve"> </t>
  </si>
  <si>
    <t>HORARIO DEL PERSONAL</t>
  </si>
  <si>
    <t>HORARIO ESTABLECIDO</t>
  </si>
  <si>
    <t>NOMBRE</t>
  </si>
  <si>
    <t>Día</t>
  </si>
  <si>
    <t>Entrada</t>
  </si>
  <si>
    <t>Salida</t>
  </si>
  <si>
    <t>N horas</t>
  </si>
  <si>
    <t>Almuerzo</t>
  </si>
  <si>
    <t>HORARIO ENTRADA HOSPITAL</t>
  </si>
  <si>
    <t xml:space="preserve">Total Horas </t>
  </si>
  <si>
    <t>VALOR SEMANAL</t>
  </si>
  <si>
    <t>Lunes</t>
  </si>
  <si>
    <t>VALOR MENSUAL</t>
  </si>
  <si>
    <t>Martes</t>
  </si>
  <si>
    <t>Miércoles</t>
  </si>
  <si>
    <t>Jueves</t>
  </si>
  <si>
    <t>Viernes</t>
  </si>
  <si>
    <t>mensual</t>
  </si>
  <si>
    <t>Sábado</t>
  </si>
  <si>
    <t>LOS PAGOS SON SEMANALES DE LUNES A SABADO Y SE REALIZAN EL MARTES DE LA SEMANA SIGUIENTE</t>
  </si>
  <si>
    <t>DEJAR EL TRABAJO SIN PREVIO AVISO DE UNA SEMANA SE LE DESCONTARA EL 80% DE LO QUE TENGA QUE RECIBIR</t>
  </si>
  <si>
    <t>LA REMUNERACION SERA POR SERVICIOS PRESTADOS, DEBERAN EMITIR FACTURA.</t>
  </si>
  <si>
    <t>Sueldo Mensual</t>
  </si>
  <si>
    <t>Total h mensual</t>
  </si>
  <si>
    <t>1/2 tiempo</t>
  </si>
  <si>
    <t>calculo sueldo</t>
  </si>
  <si>
    <t>APELLIDO</t>
  </si>
  <si>
    <t>TAREA</t>
  </si>
  <si>
    <t>Tiempo completo</t>
  </si>
  <si>
    <t>Mitad tiempo</t>
  </si>
  <si>
    <t>sueldo Semanal</t>
  </si>
  <si>
    <t>HORAS SEMANAL</t>
  </si>
  <si>
    <t>PRECIO POR HORA</t>
  </si>
  <si>
    <t>HEIDI</t>
  </si>
  <si>
    <t>MORAN</t>
  </si>
  <si>
    <t>PROYECTO NEUROLAB</t>
  </si>
  <si>
    <t>Precio por hora</t>
  </si>
  <si>
    <t xml:space="preserve">Cálculo de horas  </t>
  </si>
  <si>
    <t>DOMINGO</t>
  </si>
  <si>
    <t>ENEXIS</t>
  </si>
  <si>
    <t>Total</t>
  </si>
  <si>
    <t>BRITO</t>
  </si>
  <si>
    <t>MARKETING</t>
  </si>
  <si>
    <t>ABONO ANTES DE FECHA DE PAGO</t>
  </si>
  <si>
    <t>EXTRACTO DE CUENTA</t>
  </si>
  <si>
    <t>HEIDI MORAN</t>
  </si>
  <si>
    <t>Fecha</t>
  </si>
  <si>
    <t>Concepto</t>
  </si>
  <si>
    <t>Valor</t>
  </si>
  <si>
    <t>Abono</t>
  </si>
  <si>
    <t>Saldo</t>
  </si>
  <si>
    <t>ok</t>
  </si>
  <si>
    <t>PAGO SEMANA DE 22 AL 24 MAYO</t>
  </si>
  <si>
    <t>HORARIO SALIDA HOSPITAL</t>
  </si>
  <si>
    <t>CRISTOBAL</t>
  </si>
  <si>
    <t>REYES</t>
  </si>
  <si>
    <t>PAGO SEMANA 27 AL 31 DE MAYO</t>
  </si>
  <si>
    <t>ENEXIS BRITO</t>
  </si>
  <si>
    <t>REMUNERACIÓN 10 DE MAYO</t>
  </si>
  <si>
    <t>REMUNERACIÓN DEL 13 AL 17 DE MAYO</t>
  </si>
  <si>
    <t>Estos dos valores tienen q coincidir</t>
  </si>
  <si>
    <t>SALDO X PAGAR</t>
  </si>
  <si>
    <t>ABONO</t>
  </si>
  <si>
    <t>SEMANA DEL 20 AL 25 DE MAYO</t>
  </si>
  <si>
    <t>SEMANA DEL 27 AL 31 DE MAYO</t>
  </si>
  <si>
    <t>CRISTOBAL HOLGUIN</t>
  </si>
  <si>
    <t>COMIDA Y TRANSPORTE</t>
  </si>
  <si>
    <t>SEMANA DEL 1 al 5</t>
  </si>
  <si>
    <t>abono semana del 1 al 5</t>
  </si>
  <si>
    <t>SEMANA DEL 8 al 12</t>
  </si>
  <si>
    <t>16 DE ABRIL</t>
  </si>
  <si>
    <t>abono del 8 al 12</t>
  </si>
  <si>
    <t>Domingo</t>
  </si>
  <si>
    <t>SEMANA DEL 15 al 19</t>
  </si>
  <si>
    <t>SEMANA DEL 22 AL 26</t>
  </si>
  <si>
    <t>HORAS EXTRA DE HOSPITAL</t>
  </si>
  <si>
    <t>PAGO SEMANA DEL 30 ABRIL AL 4 DE MAYO</t>
  </si>
  <si>
    <t xml:space="preserve">MARTES VINO DESDE LAS 2PM Y MIERCOLES DESDE LAS 4PM </t>
  </si>
  <si>
    <t xml:space="preserve">ABONO </t>
  </si>
  <si>
    <t>SEMANA DEL 6 AL 11 DE MAYO</t>
  </si>
  <si>
    <t>SEMANA DEL 13 al 18 DE MAYO</t>
  </si>
  <si>
    <t>ABONOS EN EFECTIVO</t>
  </si>
  <si>
    <t>ABONO 50 DOLARES EN EFECTIVO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</si>
</sst>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$-300A]\ #,##0.00"/>
    <numFmt numFmtId="165" formatCode="[h]:mm"/>
    <numFmt numFmtId="166" formatCode="&quot;$&quot;#,##0.00"/>
    <numFmt numFmtId="167" formatCode="&quot;$&quot;#,##0.0"/>
    <numFmt numFmtId="168" formatCode="_-[$$-409]* #,##0.00_ ;_-[$$-409]* \-#,##0.00\ ;_-[$$-409]* &quot;-&quot;??_ ;_-@_ "/>
    <numFmt numFmtId="169" formatCode="_-[$$-540A]* #,##0.00_ ;_-[$$-540A]* \-#,##0.00\ ;_-[$$-540A]* &quot;-&quot;??_ ;_-@_ "/>
    <numFmt numFmtId="170" formatCode="_ * #,##0.00_ ;_ * \-#,##0.00_ ;_ * &quot;-&quot;??_ ;_ @_ "/>
    <numFmt numFmtId="171" formatCode="h:mm:ss am/pm"/>
    <numFmt numFmtId="172" formatCode="_ * #,##0_ ;_ * \-#,##0_ ;_ * &quot;-&quot;??_ ;_ @_ "/>
    <numFmt numFmtId="173" formatCode="&quot;$&quot;#,##0.00_);[Red]\(&quot;$&quot;#,##0.00\)"/>
    <numFmt numFmtId="174" formatCode="dd/mm/yyyy"/>
    <numFmt numFmtId="175" formatCode="_(&quot;$&quot;\ * #,##0.00_);_(&quot;$&quot;\ * \(#,##0.00\);_(&quot;$&quot;\ * &quot;-&quot;??_);_(@_)"/>
    <numFmt numFmtId="176" formatCode="d/m/yy"/>
  </numFmts>
  <fonts count="26">
    <font>
      <sz val="10.0"/>
      <color rgb="FF000000"/>
      <name val="Arial"/>
      <scheme val="minor"/>
    </font>
    <font>
      <u/>
      <color theme="1"/>
      <name val="Arial"/>
    </font>
    <font>
      <sz val="13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/>
    <font>
      <b/>
      <sz val="7.0"/>
      <color theme="1"/>
      <name val="Calibri"/>
    </font>
    <font>
      <sz val="7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sz val="10.0"/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b/>
      <color theme="1"/>
      <name val="Calibri"/>
    </font>
    <font>
      <sz val="6.0"/>
      <color theme="1"/>
      <name val="Arial"/>
    </font>
    <font>
      <sz val="11.0"/>
      <color rgb="FF7F7F7F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sz val="9.0"/>
      <color theme="1"/>
      <name val="Arial"/>
    </font>
    <font>
      <color rgb="FF000000"/>
      <name val="Roboto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6">
    <border/>
    <border>
      <left style="medium">
        <color rgb="FF000000"/>
      </left>
      <right style="thin">
        <color rgb="FF0F243E"/>
      </right>
      <top style="medium">
        <color rgb="FF000000"/>
      </top>
      <bottom style="thin">
        <color rgb="FF0F243E"/>
      </bottom>
    </border>
    <border>
      <left style="thin">
        <color rgb="FF000000"/>
      </left>
      <top style="thin">
        <color rgb="FF000000"/>
      </top>
    </border>
    <border>
      <left style="thin">
        <color rgb="FF0F243E"/>
      </left>
      <right style="thin">
        <color rgb="FF0F243E"/>
      </right>
      <top style="medium">
        <color rgb="FF000000"/>
      </top>
      <bottom style="thin">
        <color rgb="FF0F243E"/>
      </bottom>
    </border>
    <border>
      <top style="thin">
        <color rgb="FF000000"/>
      </top>
    </border>
    <border>
      <left style="thin">
        <color rgb="FF0F243E"/>
      </left>
      <right style="thin">
        <color rgb="FF0F243E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F243E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F243E"/>
      </bottom>
    </border>
    <border>
      <left style="medium">
        <color rgb="FF000000"/>
      </left>
      <right style="thin">
        <color rgb="FF0F243E"/>
      </right>
      <top style="thin">
        <color rgb="FF0F243E"/>
      </top>
      <bottom style="thin">
        <color rgb="FF0F243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F243E"/>
      </left>
      <right style="thin">
        <color rgb="FF0F243E"/>
      </right>
      <top style="thin">
        <color rgb="FF0F243E"/>
      </top>
      <bottom style="thin">
        <color rgb="FF0F243E"/>
      </bottom>
    </border>
    <border>
      <left style="thin">
        <color rgb="FF0F243E"/>
      </left>
      <right style="medium">
        <color rgb="FF000000"/>
      </right>
      <top style="medium">
        <color rgb="FF000000"/>
      </top>
    </border>
    <border>
      <left style="thin">
        <color rgb="FF0F243E"/>
      </left>
      <right/>
      <top style="thin">
        <color rgb="FF0F243E"/>
      </top>
      <bottom style="thin">
        <color rgb="FF0F243E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F243E"/>
      </right>
      <top style="thin">
        <color rgb="FF0F243E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F243E"/>
      </top>
      <bottom style="thin">
        <color rgb="FF0F243E"/>
      </bottom>
    </border>
    <border>
      <left style="thin">
        <color rgb="FF0F243E"/>
      </left>
      <right style="thin">
        <color rgb="FF0F243E"/>
      </right>
      <top style="thin">
        <color rgb="FF0F243E"/>
      </top>
      <bottom style="medium">
        <color rgb="FF000000"/>
      </bottom>
    </border>
    <border>
      <left style="thin">
        <color rgb="FF0F243E"/>
      </left>
      <right/>
      <top style="thin">
        <color rgb="FF0F243E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F243E"/>
      </left>
      <top style="thin">
        <color rgb="FF0F243E"/>
      </top>
      <bottom style="thin">
        <color rgb="FF0F243E"/>
      </bottom>
    </border>
    <border>
      <right style="thin">
        <color rgb="FF000000"/>
      </right>
      <top style="thin">
        <color rgb="FF0F243E"/>
      </top>
      <bottom style="thin">
        <color rgb="FF0F243E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F243E"/>
      </left>
      <right style="thin">
        <color rgb="FF0F243E"/>
      </right>
      <top style="thin">
        <color rgb="FF0F243E"/>
      </top>
      <bottom/>
    </border>
    <border>
      <left style="thin">
        <color rgb="FF0F243E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F243E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F243E"/>
      </right>
      <top/>
      <bottom style="thin">
        <color rgb="FF0F243E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F243E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F243E"/>
      </top>
      <bottom style="thin">
        <color rgb="FF0F243E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8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3" numFmtId="0" xfId="0" applyFont="1"/>
    <xf borderId="3" fillId="2" fontId="6" numFmtId="0" xfId="0" applyAlignment="1" applyBorder="1" applyFill="1" applyFont="1">
      <alignment horizontal="center" shrinkToFit="0" vertical="bottom" wrapText="0"/>
    </xf>
    <xf borderId="4" fillId="0" fontId="7" numFmtId="0" xfId="0" applyBorder="1" applyFont="1"/>
    <xf borderId="5" fillId="2" fontId="6" numFmtId="0" xfId="0" applyAlignment="1" applyBorder="1" applyFill="1" applyFont="1">
      <alignment horizontal="center" shrinkToFit="0" vertical="bottom" wrapText="0"/>
    </xf>
    <xf borderId="6" fillId="0" fontId="7" numFmtId="0" xfId="0" applyBorder="1" applyFont="1"/>
    <xf borderId="7" fillId="2" fontId="6" numFmtId="0" xfId="0" applyAlignment="1" applyBorder="1" applyFill="1" applyFont="1">
      <alignment horizontal="center" shrinkToFit="0" vertical="bottom" wrapText="0"/>
    </xf>
    <xf borderId="8" fillId="2" fontId="8" numFmtId="0" xfId="0" applyAlignment="1" applyBorder="1" applyFill="1" applyFont="1">
      <alignment horizontal="center" shrinkToFit="0" vertical="bottom" wrapText="0"/>
    </xf>
    <xf borderId="9" fillId="3" fontId="6" numFmtId="0" xfId="0" applyAlignment="1" applyBorder="1" applyFill="1" applyFont="1">
      <alignment shrinkToFit="0" vertical="bottom" wrapText="0"/>
    </xf>
    <xf borderId="10" fillId="0" fontId="9" numFmtId="0" xfId="0" applyBorder="1" applyFont="1"/>
    <xf borderId="11" fillId="0" fontId="10" numFmtId="18" xfId="0" applyAlignment="1" applyBorder="1" applyFont="1" applyNumberFormat="1">
      <alignment shrinkToFit="0" vertical="bottom" wrapText="0"/>
    </xf>
    <xf borderId="12" fillId="2" fontId="6" numFmtId="0" xfId="0" applyAlignment="1" applyBorder="1" applyFill="1" applyFont="1">
      <alignment horizontal="center" shrinkToFit="0" vertical="bottom" wrapText="0"/>
    </xf>
    <xf borderId="13" fillId="3" fontId="5" numFmtId="165" xfId="0" applyAlignment="1" applyBorder="1" applyFill="1" applyFont="1" applyNumberFormat="1">
      <alignment shrinkToFit="0" vertical="bottom" wrapText="0"/>
    </xf>
    <xf borderId="11" fillId="0" fontId="11" numFmtId="20" xfId="0" applyAlignment="1" applyBorder="1" applyFont="1" applyNumberFormat="1">
      <alignment shrinkToFit="0" vertical="bottom" wrapText="0"/>
    </xf>
    <xf borderId="14" fillId="0" fontId="5" numFmtId="165" xfId="0" applyAlignment="1" applyBorder="1" applyFont="1" applyNumberFormat="1">
      <alignment shrinkToFit="0" vertical="bottom" wrapText="0"/>
    </xf>
    <xf borderId="15" fillId="3" fontId="6" numFmtId="0" xfId="0" applyAlignment="1" applyBorder="1" applyFill="1" applyFont="1">
      <alignment shrinkToFit="0" vertical="bottom" wrapText="0"/>
    </xf>
    <xf borderId="16" fillId="3" fontId="5" numFmtId="166" xfId="0" applyAlignment="1" applyBorder="1" applyFill="1" applyFont="1" applyNumberFormat="1">
      <alignment shrinkToFit="0" vertical="bottom" wrapText="0"/>
    </xf>
    <xf borderId="17" fillId="0" fontId="10" numFmtId="18" xfId="0" applyAlignment="1" applyBorder="1" applyFont="1" applyNumberFormat="1">
      <alignment shrinkToFit="0" vertical="bottom" wrapText="0"/>
    </xf>
    <xf borderId="18" fillId="3" fontId="5" numFmtId="165" xfId="0" applyAlignment="1" applyBorder="1" applyFill="1" applyFont="1" applyNumberFormat="1">
      <alignment shrinkToFit="0" vertical="bottom" wrapText="0"/>
    </xf>
    <xf borderId="17" fillId="0" fontId="11" numFmtId="20" xfId="0" applyAlignment="1" applyBorder="1" applyFont="1" applyNumberFormat="1">
      <alignment shrinkToFit="0" vertical="bottom" wrapText="0"/>
    </xf>
    <xf borderId="10" fillId="0" fontId="12" numFmtId="0" xfId="0" applyBorder="1" applyFont="1"/>
    <xf borderId="19" fillId="0" fontId="5" numFmtId="165" xfId="0" applyAlignment="1" applyBorder="1" applyFont="1" applyNumberFormat="1">
      <alignment shrinkToFit="0" vertical="bottom" wrapText="0"/>
    </xf>
    <xf borderId="20" fillId="4" fontId="6" numFmtId="0" xfId="0" applyAlignment="1" applyBorder="1" applyFill="1" applyFont="1">
      <alignment shrinkToFit="0" vertical="bottom" wrapText="0"/>
    </xf>
    <xf borderId="21" fillId="0" fontId="11" numFmtId="18" xfId="0" applyAlignment="1" applyBorder="1" applyFont="1" applyNumberFormat="1">
      <alignment shrinkToFit="0" vertical="bottom" wrapText="0"/>
    </xf>
    <xf borderId="22" fillId="0" fontId="5" numFmtId="165" xfId="0" applyAlignment="1" applyBorder="1" applyFont="1" applyNumberFormat="1">
      <alignment shrinkToFit="0" vertical="bottom" wrapText="0"/>
    </xf>
    <xf borderId="21" fillId="0" fontId="11" numFmtId="20" xfId="0" applyAlignment="1" applyBorder="1" applyFont="1" applyNumberFormat="1">
      <alignment shrinkToFit="0" vertical="bottom" wrapText="0"/>
    </xf>
    <xf borderId="23" fillId="4" fontId="13" numFmtId="0" xfId="0" applyAlignment="1" applyBorder="1" applyFill="1" applyFont="1">
      <alignment shrinkToFit="0" vertical="bottom" wrapText="0"/>
    </xf>
    <xf borderId="0" fillId="0" fontId="11" numFmtId="18" xfId="0" applyAlignment="1" applyFont="1" applyNumberFormat="1">
      <alignment shrinkToFit="0" vertical="bottom" wrapText="0"/>
    </xf>
    <xf borderId="0" fillId="4" fontId="5" numFmtId="165" xfId="0" applyAlignment="1" applyFill="1" applyFont="1" applyNumberFormat="1">
      <alignment shrinkToFit="0" vertical="bottom" wrapText="0"/>
    </xf>
    <xf borderId="0" fillId="0" fontId="11" numFmtId="20" xfId="0" applyAlignment="1" applyFont="1" applyNumberForma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5" xfId="0" applyAlignment="1" applyFont="1" applyNumberFormat="1">
      <alignment shrinkToFit="0" vertical="bottom" wrapText="0"/>
    </xf>
    <xf borderId="24" fillId="0" fontId="12" numFmtId="0" xfId="0" applyBorder="1" applyFont="1"/>
    <xf borderId="25" fillId="0" fontId="11" numFmtId="20" xfId="0" applyAlignment="1" applyBorder="1" applyFont="1" applyNumberFormat="1">
      <alignment shrinkToFit="0" vertical="bottom" wrapText="0"/>
    </xf>
    <xf borderId="10" fillId="0" fontId="5" numFmtId="165" xfId="0" applyAlignment="1" applyBorder="1" applyFont="1" applyNumberFormat="1">
      <alignment shrinkToFit="0" vertical="bottom" wrapText="0"/>
    </xf>
    <xf borderId="26" fillId="3" fontId="5" numFmtId="166" xfId="0" applyAlignment="1" applyBorder="1" applyFill="1" applyFont="1" applyNumberFormat="1">
      <alignment shrinkToFit="0" vertical="bottom" wrapText="0"/>
    </xf>
    <xf borderId="27" fillId="3" fontId="5" numFmtId="166" xfId="0" applyAlignment="1" applyBorder="1" applyFill="1" applyFont="1" applyNumberFormat="1">
      <alignment shrinkToFit="0" vertical="bottom" wrapText="0"/>
    </xf>
    <xf borderId="28" fillId="0" fontId="12" numFmtId="167" xfId="0" applyBorder="1" applyFont="1" applyNumberFormat="1"/>
    <xf borderId="0" fillId="4" fontId="5" numFmtId="166" xfId="0" applyAlignment="1" applyFill="1" applyFont="1" applyNumberFormat="1">
      <alignment shrinkToFit="0" vertical="bottom" wrapText="0"/>
    </xf>
    <xf borderId="29" fillId="4" fontId="13" numFmtId="0" xfId="0" applyAlignment="1" applyBorder="1" applyFill="1" applyFont="1">
      <alignment shrinkToFit="0" vertical="bottom" wrapText="0"/>
    </xf>
    <xf borderId="29" fillId="4" fontId="5" numFmtId="165" xfId="0" applyAlignment="1" applyBorder="1" applyFill="1" applyFont="1" applyNumberFormat="1">
      <alignment shrinkToFit="0" vertical="bottom" wrapText="0"/>
    </xf>
    <xf borderId="29" fillId="4" fontId="5" numFmtId="166" xfId="0" applyAlignment="1" applyBorder="1" applyFill="1" applyFont="1" applyNumberFormat="1">
      <alignment shrinkToFit="0" vertical="bottom" wrapText="0"/>
    </xf>
    <xf borderId="29" fillId="4" fontId="5" numFmtId="0" xfId="0" applyAlignment="1" applyBorder="1" applyFill="1" applyFont="1">
      <alignment shrinkToFit="0" vertical="bottom" wrapText="0"/>
    </xf>
    <xf borderId="29" fillId="4" fontId="6" numFmtId="0" xfId="0" applyAlignment="1" applyBorder="1" applyFill="1" applyFont="1">
      <alignment shrinkToFit="0" vertical="bottom" wrapText="0"/>
    </xf>
    <xf borderId="10" fillId="0" fontId="5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0" fillId="0" fontId="5" numFmtId="168" xfId="0" applyAlignment="1" applyBorder="1" applyFont="1" applyNumberFormat="1">
      <alignment horizontal="center" shrinkToFit="0" vertical="bottom" wrapText="0"/>
    </xf>
    <xf borderId="10" fillId="0" fontId="5" numFmtId="1" xfId="0" applyAlignment="1" applyBorder="1" applyFont="1" applyNumberFormat="1">
      <alignment horizontal="center" shrinkToFit="0" vertical="bottom" wrapText="0"/>
    </xf>
    <xf borderId="10" fillId="0" fontId="5" numFmtId="169" xfId="0" applyAlignment="1" applyBorder="1" applyFont="1" applyNumberForma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21" fillId="0" fontId="5" numFmtId="0" xfId="0" applyAlignment="1" applyBorder="1" applyFont="1">
      <alignment horizontal="center" shrinkToFit="0" vertical="bottom" wrapText="0"/>
    </xf>
    <xf borderId="21" fillId="0" fontId="7" numFmtId="0" xfId="0" applyBorder="1" applyFont="1"/>
    <xf borderId="0" fillId="0" fontId="5" numFmtId="14" xfId="0" applyAlignment="1" applyFont="1" applyNumberFormat="1">
      <alignment shrinkToFit="0" vertical="bottom" wrapText="0"/>
    </xf>
    <xf borderId="24" fillId="0" fontId="4" numFmtId="0" xfId="0" applyAlignment="1" applyBorder="1" applyFont="1">
      <alignment horizontal="center" shrinkToFit="0" vertical="bottom" wrapText="0"/>
    </xf>
    <xf borderId="24" fillId="0" fontId="4" numFmtId="170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wrapText="1"/>
    </xf>
    <xf borderId="24" fillId="0" fontId="4" numFmtId="170" xfId="0" applyAlignment="1" applyBorder="1" applyFont="1" applyNumberFormat="1">
      <alignment horizontal="center" shrinkToFit="0" vertical="bottom" wrapText="1"/>
    </xf>
    <xf borderId="11" fillId="0" fontId="10" numFmtId="171" xfId="0" applyAlignment="1" applyBorder="1" applyFont="1" applyNumberFormat="1">
      <alignment shrinkToFit="0" vertical="bottom" wrapText="0"/>
    </xf>
    <xf borderId="30" fillId="0" fontId="5" numFmtId="0" xfId="0" applyAlignment="1" applyBorder="1" applyFont="1">
      <alignment horizontal="center" shrinkToFit="0" vertical="bottom" wrapText="0"/>
    </xf>
    <xf borderId="31" fillId="0" fontId="5" numFmtId="170" xfId="0" applyAlignment="1" applyBorder="1" applyFont="1" applyNumberFormat="1">
      <alignment horizontal="center" shrinkToFit="0" vertical="bottom" wrapText="0"/>
    </xf>
    <xf borderId="32" fillId="0" fontId="17" numFmtId="170" xfId="0" applyAlignment="1" applyBorder="1" applyFont="1" applyNumberFormat="1">
      <alignment horizontal="center" shrinkToFit="0" vertical="bottom" wrapText="0"/>
    </xf>
    <xf borderId="22" fillId="0" fontId="12" numFmtId="0" xfId="0" applyAlignment="1" applyBorder="1" applyFont="1">
      <alignment horizontal="center"/>
    </xf>
    <xf borderId="33" fillId="0" fontId="5" numFmtId="170" xfId="0" applyAlignment="1" applyBorder="1" applyFont="1" applyNumberFormat="1">
      <alignment horizontal="center" shrinkToFit="0" vertical="bottom" wrapText="0"/>
    </xf>
    <xf borderId="31" fillId="0" fontId="4" numFmtId="170" xfId="0" applyAlignment="1" applyBorder="1" applyFont="1" applyNumberFormat="1">
      <alignment horizontal="center" shrinkToFit="0" vertical="bottom" wrapText="1"/>
    </xf>
    <xf borderId="31" fillId="0" fontId="5" numFmtId="172" xfId="0" applyAlignment="1" applyBorder="1" applyFont="1" applyNumberFormat="1">
      <alignment horizontal="center" shrinkToFit="0" vertical="bottom" wrapText="0"/>
    </xf>
    <xf borderId="34" fillId="0" fontId="5" numFmtId="170" xfId="0" applyAlignment="1" applyBorder="1" applyFont="1" applyNumberFormat="1">
      <alignment shrinkToFit="0" vertical="bottom" wrapText="0"/>
    </xf>
    <xf borderId="30" fillId="0" fontId="6" numFmtId="0" xfId="0" applyAlignment="1" applyBorder="1" applyFont="1">
      <alignment shrinkToFit="0" vertical="bottom" wrapText="0"/>
    </xf>
    <xf borderId="34" fillId="0" fontId="11" numFmtId="173" xfId="0" applyAlignment="1" applyBorder="1" applyFont="1" applyNumberFormat="1">
      <alignment horizontal="center" shrinkToFit="0" vertical="bottom" wrapText="0"/>
    </xf>
    <xf borderId="27" fillId="0" fontId="4" numFmtId="0" xfId="0" applyAlignment="1" applyBorder="1" applyFont="1">
      <alignment horizontal="center" shrinkToFit="0" vertical="bottom" wrapText="0"/>
    </xf>
    <xf borderId="35" fillId="0" fontId="7" numFmtId="0" xfId="0" applyBorder="1" applyFont="1"/>
    <xf borderId="36" fillId="0" fontId="7" numFmtId="0" xfId="0" applyBorder="1" applyFont="1"/>
    <xf borderId="11" fillId="2" fontId="6" numFmtId="0" xfId="0" applyAlignment="1" applyBorder="1" applyFill="1" applyFont="1">
      <alignment shrinkToFit="0" vertical="bottom" wrapText="0"/>
    </xf>
    <xf borderId="11" fillId="2" fontId="6" numFmtId="0" xfId="0" applyAlignment="1" applyBorder="1" applyFill="1" applyFont="1">
      <alignment horizontal="center" shrinkToFit="0" vertical="bottom" wrapText="0"/>
    </xf>
    <xf borderId="37" fillId="2" fontId="6" numFmtId="0" xfId="0" applyAlignment="1" applyBorder="1" applyFill="1" applyFont="1">
      <alignment horizontal="center" shrinkToFit="0" vertical="bottom" wrapText="0"/>
    </xf>
    <xf borderId="38" fillId="2" fontId="6" numFmtId="0" xfId="0" applyAlignment="1" applyBorder="1" applyFill="1" applyFont="1">
      <alignment horizontal="center" shrinkToFit="0" vertical="bottom" wrapText="0"/>
    </xf>
    <xf borderId="39" fillId="2" fontId="6" numFmtId="0" xfId="0" applyAlignment="1" applyBorder="1" applyFill="1" applyFont="1">
      <alignment horizontal="center" shrinkToFit="0" vertical="bottom" wrapText="0"/>
    </xf>
    <xf borderId="40" fillId="4" fontId="6" numFmtId="0" xfId="0" applyAlignment="1" applyBorder="1" applyFill="1" applyFont="1">
      <alignment horizontal="center" shrinkToFit="0" vertical="bottom" wrapText="1"/>
    </xf>
    <xf borderId="11" fillId="3" fontId="6" numFmtId="0" xfId="0" applyAlignment="1" applyBorder="1" applyFill="1" applyFont="1">
      <alignment shrinkToFit="0" vertical="bottom" wrapText="0"/>
    </xf>
    <xf borderId="11" fillId="0" fontId="10" numFmtId="20" xfId="0" applyAlignment="1" applyBorder="1" applyFont="1" applyNumberFormat="1">
      <alignment shrinkToFit="0" vertical="bottom" wrapText="0"/>
    </xf>
    <xf borderId="41" fillId="0" fontId="5" numFmtId="165" xfId="0" applyAlignment="1" applyBorder="1" applyFont="1" applyNumberFormat="1">
      <alignment shrinkToFit="0" vertical="bottom" wrapText="0"/>
    </xf>
    <xf borderId="40" fillId="4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top" wrapText="1"/>
    </xf>
    <xf borderId="40" fillId="4" fontId="5" numFmtId="0" xfId="0" applyAlignment="1" applyBorder="1" applyFill="1" applyFont="1">
      <alignment shrinkToFit="0" vertical="bottom" wrapText="0"/>
    </xf>
    <xf borderId="42" fillId="4" fontId="6" numFmtId="0" xfId="0" applyAlignment="1" applyBorder="1" applyFill="1" applyFont="1">
      <alignment shrinkToFit="0" vertical="bottom" wrapText="0"/>
    </xf>
    <xf borderId="30" fillId="3" fontId="5" numFmtId="166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8" numFmtId="18" xfId="0" applyAlignment="1" applyFont="1" applyNumberFormat="1">
      <alignment shrinkToFit="0" vertical="bottom" wrapText="0"/>
    </xf>
    <xf borderId="29" fillId="4" fontId="6" numFmtId="18" xfId="0" applyAlignment="1" applyBorder="1" applyFill="1" applyFont="1" applyNumberFormat="1">
      <alignment shrinkToFit="0" vertical="bottom" wrapText="0"/>
    </xf>
    <xf borderId="43" fillId="4" fontId="19" numFmtId="165" xfId="0" applyAlignment="1" applyBorder="1" applyFill="1" applyFont="1" applyNumberFormat="1">
      <alignment horizontal="right" shrinkToFit="0" vertical="bottom" wrapText="0"/>
    </xf>
    <xf borderId="44" fillId="0" fontId="7" numFmtId="0" xfId="0" applyBorder="1" applyFont="1"/>
    <xf borderId="22" fillId="4" fontId="5" numFmtId="166" xfId="0" applyAlignment="1" applyBorder="1" applyFill="1" applyFont="1" applyNumberFormat="1">
      <alignment shrinkToFit="0" vertical="bottom" wrapText="0"/>
    </xf>
    <xf borderId="29" fillId="4" fontId="6" numFmtId="165" xfId="0" applyAlignment="1" applyBorder="1" applyFill="1" applyFont="1" applyNumberFormat="1">
      <alignment shrinkToFit="0" vertical="bottom" wrapText="0"/>
    </xf>
    <xf borderId="45" fillId="0" fontId="20" numFmtId="0" xfId="0" applyAlignment="1" applyBorder="1" applyFont="1">
      <alignment horizontal="center" shrinkToFit="0" vertical="center" wrapText="0"/>
    </xf>
    <xf borderId="46" fillId="0" fontId="7" numFmtId="0" xfId="0" applyBorder="1" applyFont="1"/>
    <xf borderId="47" fillId="0" fontId="7" numFmtId="0" xfId="0" applyBorder="1" applyFont="1"/>
    <xf borderId="0" fillId="0" fontId="3" numFmtId="165" xfId="0" applyFont="1" applyNumberFormat="1"/>
    <xf borderId="48" fillId="0" fontId="20" numFmtId="0" xfId="0" applyAlignment="1" applyBorder="1" applyFont="1">
      <alignment horizontal="left" shrinkToFit="0" vertical="center" wrapText="0"/>
    </xf>
    <xf borderId="49" fillId="0" fontId="7" numFmtId="0" xfId="0" applyBorder="1" applyFont="1"/>
    <xf borderId="50" fillId="0" fontId="7" numFmtId="0" xfId="0" applyBorder="1" applyFont="1"/>
    <xf borderId="0" fillId="0" fontId="3" numFmtId="166" xfId="0" applyFont="1" applyNumberFormat="1"/>
    <xf borderId="51" fillId="0" fontId="20" numFmtId="0" xfId="0" applyAlignment="1" applyBorder="1" applyFont="1">
      <alignment horizontal="center" shrinkToFit="0" vertical="center" wrapText="0"/>
    </xf>
    <xf borderId="32" fillId="0" fontId="20" numFmtId="0" xfId="0" applyAlignment="1" applyBorder="1" applyFont="1">
      <alignment horizontal="center" shrinkToFit="0" vertical="center" wrapText="0"/>
    </xf>
    <xf borderId="22" fillId="0" fontId="20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52" fillId="0" fontId="20" numFmtId="0" xfId="0" applyAlignment="1" applyBorder="1" applyFont="1">
      <alignment horizontal="center" shrinkToFit="0" vertical="center" wrapText="0"/>
    </xf>
    <xf borderId="53" fillId="0" fontId="20" numFmtId="0" xfId="0" applyAlignment="1" applyBorder="1" applyFont="1">
      <alignment horizontal="center" shrinkToFit="0" vertical="center" wrapText="0"/>
    </xf>
    <xf borderId="45" fillId="0" fontId="5" numFmtId="174" xfId="0" applyAlignment="1" applyBorder="1" applyFont="1" applyNumberFormat="1">
      <alignment shrinkToFit="0" vertical="center" wrapText="0"/>
    </xf>
    <xf borderId="45" fillId="0" fontId="5" numFmtId="0" xfId="0" applyAlignment="1" applyBorder="1" applyFont="1">
      <alignment horizontal="left" shrinkToFit="0" vertical="center" wrapText="0"/>
    </xf>
    <xf borderId="54" fillId="4" fontId="5" numFmtId="166" xfId="0" applyAlignment="1" applyBorder="1" applyFill="1" applyFont="1" applyNumberFormat="1">
      <alignment shrinkToFit="0" vertical="bottom" wrapText="0"/>
    </xf>
    <xf borderId="45" fillId="0" fontId="21" numFmtId="175" xfId="0" applyAlignment="1" applyBorder="1" applyFont="1" applyNumberFormat="1">
      <alignment shrinkToFit="0" vertical="center" wrapText="0"/>
    </xf>
    <xf borderId="55" fillId="0" fontId="5" numFmtId="0" xfId="0" applyAlignment="1" applyBorder="1" applyFont="1">
      <alignment shrinkToFit="0" vertical="center" wrapText="0"/>
    </xf>
    <xf borderId="56" fillId="0" fontId="5" numFmtId="174" xfId="0" applyAlignment="1" applyBorder="1" applyFont="1" applyNumberFormat="1">
      <alignment shrinkToFit="0" vertical="center" wrapText="0"/>
    </xf>
    <xf borderId="56" fillId="0" fontId="5" numFmtId="0" xfId="0" applyAlignment="1" applyBorder="1" applyFont="1">
      <alignment horizontal="left" shrinkToFit="0" vertical="center" wrapText="0"/>
    </xf>
    <xf borderId="57" fillId="0" fontId="7" numFmtId="0" xfId="0" applyBorder="1" applyFont="1"/>
    <xf borderId="58" fillId="0" fontId="7" numFmtId="0" xfId="0" applyBorder="1" applyFont="1"/>
    <xf borderId="58" fillId="0" fontId="21" numFmtId="175" xfId="0" applyAlignment="1" applyBorder="1" applyFont="1" applyNumberFormat="1">
      <alignment shrinkToFit="0" vertical="center" wrapText="0"/>
    </xf>
    <xf borderId="56" fillId="0" fontId="22" numFmtId="175" xfId="0" applyAlignment="1" applyBorder="1" applyFont="1" applyNumberFormat="1">
      <alignment shrinkToFit="0" vertical="center" wrapText="0"/>
    </xf>
    <xf borderId="56" fillId="0" fontId="21" numFmtId="175" xfId="0" applyAlignment="1" applyBorder="1" applyFont="1" applyNumberFormat="1">
      <alignment shrinkToFit="0" vertical="center" wrapText="0"/>
    </xf>
    <xf borderId="59" fillId="0" fontId="5" numFmtId="0" xfId="0" applyAlignment="1" applyBorder="1" applyFont="1">
      <alignment shrinkToFit="0" vertical="center" wrapText="0"/>
    </xf>
    <xf borderId="56" fillId="0" fontId="23" numFmtId="0" xfId="0" applyAlignment="1" applyBorder="1" applyFont="1">
      <alignment horizontal="left" shrinkToFit="0" vertical="center" wrapText="0"/>
    </xf>
    <xf borderId="58" fillId="0" fontId="22" numFmtId="175" xfId="0" applyAlignment="1" applyBorder="1" applyFont="1" applyNumberFormat="1">
      <alignment shrinkToFit="0" vertical="center" wrapText="0"/>
    </xf>
    <xf borderId="58" fillId="0" fontId="22" numFmtId="166" xfId="0" applyAlignment="1" applyBorder="1" applyFont="1" applyNumberFormat="1">
      <alignment shrinkToFit="0" vertical="center" wrapText="0"/>
    </xf>
    <xf borderId="56" fillId="0" fontId="5" numFmtId="176" xfId="0" applyAlignment="1" applyBorder="1" applyFont="1" applyNumberFormat="1">
      <alignment shrinkToFit="0" vertical="center" wrapText="0"/>
    </xf>
    <xf borderId="60" fillId="0" fontId="5" numFmtId="174" xfId="0" applyAlignment="1" applyBorder="1" applyFont="1" applyNumberFormat="1">
      <alignment shrinkToFit="0" vertical="center" wrapText="0"/>
    </xf>
    <xf borderId="61" fillId="0" fontId="21" numFmtId="175" xfId="0" applyAlignment="1" applyBorder="1" applyFont="1" applyNumberFormat="1">
      <alignment shrinkToFit="0" vertical="center" wrapText="0"/>
    </xf>
    <xf borderId="60" fillId="0" fontId="21" numFmtId="175" xfId="0" applyAlignment="1" applyBorder="1" applyFont="1" applyNumberFormat="1">
      <alignment shrinkToFit="0" vertical="center" wrapText="0"/>
    </xf>
    <xf borderId="62" fillId="0" fontId="5" numFmtId="0" xfId="0" applyAlignment="1" applyBorder="1" applyFont="1">
      <alignment shrinkToFit="0" vertical="center" wrapText="0"/>
    </xf>
    <xf borderId="63" fillId="0" fontId="5" numFmtId="0" xfId="0" applyAlignment="1" applyBorder="1" applyFont="1">
      <alignment shrinkToFit="0" vertical="bottom" wrapText="0"/>
    </xf>
    <xf borderId="64" fillId="2" fontId="6" numFmtId="0" xfId="0" applyAlignment="1" applyBorder="1" applyFill="1" applyFont="1">
      <alignment horizontal="center" shrinkToFit="0" vertical="bottom" wrapText="0"/>
    </xf>
    <xf borderId="48" fillId="0" fontId="5" numFmtId="174" xfId="0" applyAlignment="1" applyBorder="1" applyFont="1" applyNumberFormat="1">
      <alignment shrinkToFit="0" vertical="center" wrapText="0"/>
    </xf>
    <xf borderId="63" fillId="4" fontId="6" numFmtId="0" xfId="0" applyAlignment="1" applyBorder="1" applyFill="1" applyFont="1">
      <alignment horizontal="center" shrinkToFit="0" vertical="bottom" wrapText="1"/>
    </xf>
    <xf borderId="48" fillId="0" fontId="5" numFmtId="0" xfId="0" applyAlignment="1" applyBorder="1" applyFont="1">
      <alignment horizontal="left" shrinkToFit="0" vertical="center" wrapText="0"/>
    </xf>
    <xf borderId="50" fillId="0" fontId="21" numFmtId="175" xfId="0" applyAlignment="1" applyBorder="1" applyFont="1" applyNumberFormat="1">
      <alignment shrinkToFit="0" vertical="center" wrapText="0"/>
    </xf>
    <xf borderId="48" fillId="0" fontId="21" numFmtId="175" xfId="0" applyAlignment="1" applyBorder="1" applyFont="1" applyNumberFormat="1">
      <alignment shrinkToFit="0" vertical="center" wrapText="0"/>
    </xf>
    <xf borderId="65" fillId="0" fontId="5" numFmtId="0" xfId="0" applyAlignment="1" applyBorder="1" applyFont="1">
      <alignment shrinkToFit="0" vertical="center" wrapText="0"/>
    </xf>
    <xf borderId="0" fillId="0" fontId="20" numFmtId="174" xfId="0" applyAlignment="1" applyFont="1" applyNumberFormat="1">
      <alignment shrinkToFit="0" vertical="center" wrapText="0"/>
    </xf>
    <xf borderId="0" fillId="0" fontId="20" numFmtId="0" xfId="0" applyAlignment="1" applyFont="1">
      <alignment shrinkToFit="0" vertical="center" wrapText="0"/>
    </xf>
    <xf borderId="22" fillId="0" fontId="20" numFmtId="175" xfId="0" applyAlignment="1" applyBorder="1" applyFont="1" applyNumberFormat="1">
      <alignment shrinkToFit="0" vertical="center" wrapText="0"/>
    </xf>
    <xf borderId="27" fillId="0" fontId="20" numFmtId="175" xfId="0" applyAlignment="1" applyBorder="1" applyFont="1" applyNumberFormat="1">
      <alignment shrinkToFit="0" vertical="center" wrapText="0"/>
    </xf>
    <xf borderId="28" fillId="0" fontId="21" numFmtId="175" xfId="0" applyAlignment="1" applyBorder="1" applyFont="1" applyNumberFormat="1">
      <alignment shrinkToFit="0" vertical="center" wrapText="0"/>
    </xf>
    <xf borderId="66" fillId="3" fontId="5" numFmtId="166" xfId="0" applyAlignment="1" applyBorder="1" applyFill="1" applyFont="1" applyNumberFormat="1">
      <alignment shrinkToFit="0" vertical="bottom" wrapText="0"/>
    </xf>
    <xf borderId="0" fillId="5" fontId="24" numFmtId="0" xfId="0" applyAlignment="1" applyFill="1" applyFont="1">
      <alignment horizontal="center" shrinkToFit="0" vertical="center" wrapText="1"/>
    </xf>
    <xf borderId="63" fillId="4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shrinkToFit="0" vertical="center" wrapText="0"/>
    </xf>
    <xf borderId="0" fillId="0" fontId="21" numFmtId="175" xfId="0" applyAlignment="1" applyFont="1" applyNumberFormat="1">
      <alignment shrinkToFit="0" vertical="center" wrapText="0"/>
    </xf>
    <xf borderId="10" fillId="0" fontId="5" numFmtId="174" xfId="0" applyAlignment="1" applyBorder="1" applyFont="1" applyNumberFormat="1">
      <alignment shrinkToFit="0" vertical="center" wrapText="0"/>
    </xf>
    <xf borderId="67" fillId="0" fontId="20" numFmtId="175" xfId="0" applyAlignment="1" applyBorder="1" applyFont="1" applyNumberFormat="1">
      <alignment horizontal="right" shrinkToFit="0" vertical="center" wrapText="0"/>
    </xf>
    <xf borderId="68" fillId="0" fontId="7" numFmtId="0" xfId="0" applyBorder="1" applyFont="1"/>
    <xf borderId="41" fillId="0" fontId="5" numFmtId="0" xfId="0" applyAlignment="1" applyBorder="1" applyFont="1">
      <alignment horizontal="left" shrinkToFit="0" vertical="center" wrapText="0"/>
    </xf>
    <xf borderId="69" fillId="0" fontId="7" numFmtId="0" xfId="0" applyBorder="1" applyFont="1"/>
    <xf borderId="63" fillId="4" fontId="5" numFmtId="0" xfId="0" applyAlignment="1" applyBorder="1" applyFill="1" applyFont="1">
      <alignment shrinkToFit="0" vertical="bottom" wrapText="0"/>
    </xf>
    <xf borderId="27" fillId="4" fontId="5" numFmtId="166" xfId="0" applyAlignment="1" applyBorder="1" applyFill="1" applyFont="1" applyNumberFormat="1">
      <alignment shrinkToFit="0" vertical="bottom" wrapText="0"/>
    </xf>
    <xf borderId="67" fillId="0" fontId="7" numFmtId="0" xfId="0" applyBorder="1" applyFont="1"/>
    <xf borderId="45" fillId="0" fontId="20" numFmtId="0" xfId="0" applyAlignment="1" applyBorder="1" applyFont="1">
      <alignment horizontal="left" shrinkToFit="0" vertical="center" wrapText="0"/>
    </xf>
    <xf borderId="70" fillId="0" fontId="20" numFmtId="0" xfId="0" applyAlignment="1" applyBorder="1" applyFont="1">
      <alignment horizontal="center" shrinkToFit="0" vertical="center" wrapText="0"/>
    </xf>
    <xf borderId="41" fillId="0" fontId="20" numFmtId="0" xfId="0" applyAlignment="1" applyBorder="1" applyFont="1">
      <alignment horizontal="center" shrinkToFit="0" vertical="center" wrapText="0"/>
    </xf>
    <xf borderId="10" fillId="0" fontId="20" numFmtId="0" xfId="0" applyAlignment="1" applyBorder="1" applyFont="1">
      <alignment horizontal="center" shrinkToFit="0" vertical="center" wrapText="0"/>
    </xf>
    <xf borderId="14" fillId="0" fontId="20" numFmtId="0" xfId="0" applyAlignment="1" applyBorder="1" applyFont="1">
      <alignment horizontal="center" shrinkToFit="0" vertical="center" wrapText="0"/>
    </xf>
    <xf borderId="70" fillId="0" fontId="5" numFmtId="174" xfId="0" applyAlignment="1" applyBorder="1" applyFont="1" applyNumberFormat="1">
      <alignment shrinkToFit="0" vertical="center" wrapText="0"/>
    </xf>
    <xf borderId="10" fillId="4" fontId="5" numFmtId="166" xfId="0" applyAlignment="1" applyBorder="1" applyFill="1" applyFont="1" applyNumberFormat="1">
      <alignment shrinkToFit="0" vertical="bottom" wrapText="0"/>
    </xf>
    <xf borderId="10" fillId="0" fontId="21" numFmtId="175" xfId="0" applyAlignment="1" applyBorder="1" applyFont="1" applyNumberFormat="1">
      <alignment shrinkToFit="0" vertical="center" wrapText="0"/>
    </xf>
    <xf borderId="14" fillId="0" fontId="5" numFmtId="0" xfId="0" applyAlignment="1" applyBorder="1" applyFont="1">
      <alignment shrinkToFit="0" vertical="center" wrapText="0"/>
    </xf>
    <xf borderId="10" fillId="0" fontId="22" numFmtId="175" xfId="0" applyAlignment="1" applyBorder="1" applyFont="1" applyNumberFormat="1">
      <alignment shrinkToFit="0" vertical="center" wrapText="0"/>
    </xf>
    <xf borderId="70" fillId="0" fontId="5" numFmtId="176" xfId="0" applyAlignment="1" applyBorder="1" applyFont="1" applyNumberFormat="1">
      <alignment shrinkToFit="0" vertical="center" wrapText="0"/>
    </xf>
    <xf borderId="0" fillId="0" fontId="25" numFmtId="166" xfId="0" applyFont="1" applyNumberFormat="1"/>
    <xf borderId="0" fillId="0" fontId="25" numFmtId="0" xfId="0" applyFont="1"/>
    <xf borderId="10" fillId="0" fontId="5" numFmtId="0" xfId="0" applyAlignment="1" applyBorder="1" applyFont="1">
      <alignment horizontal="left" shrinkToFit="0" vertical="center" wrapText="0"/>
    </xf>
    <xf borderId="71" fillId="0" fontId="5" numFmtId="174" xfId="0" applyAlignment="1" applyBorder="1" applyFont="1" applyNumberFormat="1">
      <alignment shrinkToFit="0" vertical="center" wrapText="0"/>
    </xf>
    <xf borderId="72" fillId="0" fontId="5" numFmtId="0" xfId="0" applyAlignment="1" applyBorder="1" applyFont="1">
      <alignment horizontal="left" shrinkToFit="0" vertical="center" wrapText="0"/>
    </xf>
    <xf borderId="72" fillId="0" fontId="21" numFmtId="175" xfId="0" applyAlignment="1" applyBorder="1" applyFont="1" applyNumberFormat="1">
      <alignment shrinkToFit="0" vertical="center" wrapText="0"/>
    </xf>
    <xf borderId="19" fillId="0" fontId="5" numFmtId="0" xfId="0" applyAlignment="1" applyBorder="1" applyFont="1">
      <alignment shrinkToFit="0" vertical="center" wrapText="0"/>
    </xf>
    <xf borderId="73" fillId="0" fontId="20" numFmtId="175" xfId="0" applyAlignment="1" applyBorder="1" applyFont="1" applyNumberFormat="1">
      <alignment shrinkToFit="0" vertical="center" wrapText="0"/>
    </xf>
    <xf borderId="74" fillId="0" fontId="20" numFmtId="175" xfId="0" applyAlignment="1" applyBorder="1" applyFont="1" applyNumberFormat="1">
      <alignment shrinkToFit="0" vertical="center" wrapText="0"/>
    </xf>
    <xf borderId="22" fillId="0" fontId="21" numFmtId="175" xfId="0" applyAlignment="1" applyBorder="1" applyFont="1" applyNumberFormat="1">
      <alignment shrinkToFit="0" vertical="center" wrapText="0"/>
    </xf>
    <xf borderId="75" fillId="0" fontId="21" numFmtId="17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63"/>
    <col customWidth="1" min="3" max="3" width="14.75"/>
    <col customWidth="1" min="4" max="4" width="12.63"/>
    <col customWidth="1" min="5" max="6" width="10.25"/>
    <col customWidth="1" min="7" max="7" width="11.0"/>
    <col customWidth="1" min="8" max="8" width="8.75"/>
  </cols>
  <sheetData>
    <row r="1" ht="12.75" customHeight="1">
      <c r="A1" s="1"/>
    </row>
    <row r="2" ht="12.75" customHeight="1">
      <c r="A2" s="1"/>
      <c r="B2" s="2" t="s">
        <v>1</v>
      </c>
    </row>
    <row r="3" ht="12.75" customHeight="1">
      <c r="A3" s="1"/>
      <c r="B3" s="3"/>
      <c r="C3" s="3"/>
      <c r="D3" s="3"/>
      <c r="E3" s="3"/>
      <c r="F3" s="5"/>
      <c r="G3" s="3"/>
    </row>
    <row r="4" ht="13.5" customHeight="1">
      <c r="B4" s="6"/>
      <c r="C4" s="7"/>
      <c r="D4" s="7"/>
      <c r="E4" s="8"/>
      <c r="F4" s="4"/>
    </row>
    <row r="5" ht="21.75" customHeight="1">
      <c r="B5" s="9" t="s">
        <v>3</v>
      </c>
      <c r="C5" s="11"/>
      <c r="D5" s="14"/>
      <c r="E5" s="14"/>
      <c r="F5" s="14"/>
      <c r="G5" s="16"/>
    </row>
    <row r="6" ht="15.0" customHeight="1">
      <c r="B6" s="10" t="s">
        <v>4</v>
      </c>
      <c r="C6" s="13" t="s">
        <v>5</v>
      </c>
      <c r="D6" s="13" t="s">
        <v>6</v>
      </c>
      <c r="E6" s="13" t="s">
        <v>7</v>
      </c>
      <c r="F6" s="15" t="s">
        <v>8</v>
      </c>
      <c r="G6" s="17" t="s">
        <v>10</v>
      </c>
    </row>
    <row r="7" ht="15.0" customHeight="1">
      <c r="B7" s="19" t="s">
        <v>12</v>
      </c>
      <c r="C7" s="21">
        <v>0.4166666666666667</v>
      </c>
      <c r="D7" s="21">
        <v>0.4166666666666667</v>
      </c>
      <c r="E7" s="23">
        <f t="shared" ref="E7:E11" si="1">SUM(D7-C7)</f>
        <v>0</v>
      </c>
      <c r="F7" s="24">
        <v>0.020833333333333332</v>
      </c>
      <c r="G7" s="25">
        <f t="shared" ref="G7:G11" si="2">E7-F7</f>
        <v>-0.02083333333</v>
      </c>
    </row>
    <row r="8" ht="15.0" customHeight="1">
      <c r="B8" s="19" t="s">
        <v>14</v>
      </c>
      <c r="C8" s="21">
        <v>0.4166666666666667</v>
      </c>
      <c r="D8" s="21">
        <v>0.4166666666666667</v>
      </c>
      <c r="E8" s="23">
        <f t="shared" si="1"/>
        <v>0</v>
      </c>
      <c r="F8" s="24">
        <v>0.020833333333333332</v>
      </c>
      <c r="G8" s="25">
        <f t="shared" si="2"/>
        <v>-0.02083333333</v>
      </c>
    </row>
    <row r="9" ht="15.0" customHeight="1">
      <c r="B9" s="19" t="s">
        <v>15</v>
      </c>
      <c r="C9" s="21">
        <v>0.4166666666666667</v>
      </c>
      <c r="D9" s="21">
        <v>0.4166666666666667</v>
      </c>
      <c r="E9" s="23">
        <f t="shared" si="1"/>
        <v>0</v>
      </c>
      <c r="F9" s="24">
        <v>0.020833333333333332</v>
      </c>
      <c r="G9" s="25">
        <f t="shared" si="2"/>
        <v>-0.02083333333</v>
      </c>
    </row>
    <row r="10" ht="15.0" customHeight="1">
      <c r="B10" s="19" t="s">
        <v>16</v>
      </c>
      <c r="C10" s="21">
        <v>0.4166666666666667</v>
      </c>
      <c r="D10" s="21">
        <v>0.4166666666666667</v>
      </c>
      <c r="E10" s="23">
        <f t="shared" si="1"/>
        <v>0</v>
      </c>
      <c r="F10" s="24">
        <v>0.020833333333333332</v>
      </c>
      <c r="G10" s="25">
        <f t="shared" si="2"/>
        <v>-0.02083333333</v>
      </c>
    </row>
    <row r="11" ht="15.0" customHeight="1">
      <c r="B11" s="26" t="s">
        <v>17</v>
      </c>
      <c r="C11" s="28">
        <v>0.4166666666666667</v>
      </c>
      <c r="D11" s="28">
        <v>0.4166666666666667</v>
      </c>
      <c r="E11" s="29">
        <f t="shared" si="1"/>
        <v>0</v>
      </c>
      <c r="F11" s="30">
        <v>0.020833333333333332</v>
      </c>
      <c r="G11" s="32">
        <f t="shared" si="2"/>
        <v>-0.02083333333</v>
      </c>
    </row>
    <row r="12" ht="15.75" customHeight="1">
      <c r="B12" s="33"/>
      <c r="C12" s="34"/>
      <c r="D12" s="34"/>
      <c r="E12" s="35">
        <f>SUM(E7:E11)</f>
        <v>0</v>
      </c>
      <c r="F12" s="36"/>
      <c r="G12" s="35">
        <f>SUM(G7:G11)</f>
        <v>-0.1041666667</v>
      </c>
    </row>
    <row r="13" ht="15.0" customHeight="1">
      <c r="B13" s="37"/>
      <c r="C13" s="38"/>
      <c r="D13" s="38"/>
      <c r="E13" s="39"/>
      <c r="F13" s="40"/>
      <c r="G13" s="41" t="s">
        <v>18</v>
      </c>
    </row>
    <row r="14" ht="15.0" customHeight="1">
      <c r="B14" s="37"/>
      <c r="C14" s="38"/>
      <c r="D14" s="38"/>
      <c r="E14" s="39"/>
      <c r="F14" s="40"/>
      <c r="G14" s="42"/>
    </row>
    <row r="15" ht="18.75" customHeight="1">
      <c r="B15" s="9" t="s">
        <v>3</v>
      </c>
      <c r="C15" s="11"/>
      <c r="D15" s="14"/>
      <c r="E15" s="14"/>
      <c r="F15" s="14"/>
      <c r="G15" s="16"/>
    </row>
    <row r="16" ht="15.75" customHeight="1">
      <c r="B16" s="10" t="s">
        <v>4</v>
      </c>
      <c r="C16" s="13" t="s">
        <v>5</v>
      </c>
      <c r="D16" s="13" t="s">
        <v>6</v>
      </c>
      <c r="E16" s="13" t="s">
        <v>7</v>
      </c>
      <c r="F16" s="15" t="s">
        <v>8</v>
      </c>
      <c r="G16" s="17" t="s">
        <v>10</v>
      </c>
    </row>
    <row r="17" ht="15.0" customHeight="1">
      <c r="B17" s="19" t="s">
        <v>12</v>
      </c>
      <c r="C17" s="21">
        <v>0.4166666666666667</v>
      </c>
      <c r="D17" s="21">
        <v>0.4166666666666667</v>
      </c>
      <c r="E17" s="23">
        <f t="shared" ref="E17:E21" si="3">SUM(D17-C17)</f>
        <v>0</v>
      </c>
      <c r="F17" s="24">
        <v>0.020833333333333332</v>
      </c>
      <c r="G17" s="25">
        <f t="shared" ref="G17:G21" si="4">E17-F17</f>
        <v>-0.02083333333</v>
      </c>
    </row>
    <row r="18" ht="12.75" customHeight="1">
      <c r="B18" s="19" t="s">
        <v>14</v>
      </c>
      <c r="C18" s="21">
        <v>0.4166666666666667</v>
      </c>
      <c r="D18" s="21">
        <v>0.4166666666666667</v>
      </c>
      <c r="E18" s="23">
        <f t="shared" si="3"/>
        <v>0</v>
      </c>
      <c r="F18" s="24">
        <v>0.020833333333333332</v>
      </c>
      <c r="G18" s="25">
        <f t="shared" si="4"/>
        <v>-0.02083333333</v>
      </c>
    </row>
    <row r="19" ht="12.75" customHeight="1">
      <c r="B19" s="19" t="s">
        <v>15</v>
      </c>
      <c r="C19" s="21">
        <v>0.4166666666666667</v>
      </c>
      <c r="D19" s="21">
        <v>0.4166666666666667</v>
      </c>
      <c r="E19" s="23">
        <f t="shared" si="3"/>
        <v>0</v>
      </c>
      <c r="F19" s="24">
        <v>0.020833333333333332</v>
      </c>
      <c r="G19" s="25">
        <f t="shared" si="4"/>
        <v>-0.02083333333</v>
      </c>
    </row>
    <row r="20" ht="12.75" customHeight="1">
      <c r="B20" s="19" t="s">
        <v>16</v>
      </c>
      <c r="C20" s="21">
        <v>0.4166666666666667</v>
      </c>
      <c r="D20" s="21">
        <v>0.4166666666666667</v>
      </c>
      <c r="E20" s="23">
        <f t="shared" si="3"/>
        <v>0</v>
      </c>
      <c r="F20" s="24">
        <v>0.020833333333333332</v>
      </c>
      <c r="G20" s="25">
        <f t="shared" si="4"/>
        <v>-0.02083333333</v>
      </c>
    </row>
    <row r="21" ht="12.75" customHeight="1">
      <c r="B21" s="26" t="s">
        <v>17</v>
      </c>
      <c r="C21" s="28">
        <v>0.4166666666666667</v>
      </c>
      <c r="D21" s="28">
        <v>0.4166666666666667</v>
      </c>
      <c r="E21" s="29">
        <f t="shared" si="3"/>
        <v>0</v>
      </c>
      <c r="F21" s="30">
        <v>0.020833333333333332</v>
      </c>
      <c r="G21" s="32">
        <f t="shared" si="4"/>
        <v>-0.02083333333</v>
      </c>
    </row>
    <row r="22" ht="12.75" customHeight="1">
      <c r="B22" s="33"/>
      <c r="C22" s="34"/>
      <c r="D22" s="34"/>
      <c r="E22" s="35">
        <f>SUM(E17:E21)</f>
        <v>0</v>
      </c>
      <c r="F22" s="36"/>
      <c r="G22" s="35">
        <f>SUM(G17:G21)</f>
        <v>-0.1041666667</v>
      </c>
    </row>
    <row r="23" ht="12.75" customHeight="1"/>
    <row r="24" ht="12.75" customHeight="1"/>
    <row r="25" ht="16.5" customHeight="1">
      <c r="B25" s="9" t="s">
        <v>3</v>
      </c>
      <c r="C25" s="11"/>
      <c r="D25" s="14"/>
      <c r="E25" s="14"/>
      <c r="F25" s="14"/>
      <c r="G25" s="16"/>
    </row>
    <row r="26" ht="12.75" customHeight="1">
      <c r="B26" s="10" t="s">
        <v>4</v>
      </c>
      <c r="C26" s="13" t="s">
        <v>5</v>
      </c>
      <c r="D26" s="13" t="s">
        <v>6</v>
      </c>
      <c r="E26" s="13" t="s">
        <v>7</v>
      </c>
      <c r="F26" s="15" t="s">
        <v>8</v>
      </c>
      <c r="G26" s="17" t="s">
        <v>10</v>
      </c>
    </row>
    <row r="27" ht="12.75" customHeight="1">
      <c r="B27" s="19" t="s">
        <v>12</v>
      </c>
      <c r="C27" s="21">
        <v>0.4166666666666667</v>
      </c>
      <c r="D27" s="21">
        <v>0.4166666666666667</v>
      </c>
      <c r="E27" s="23">
        <f t="shared" ref="E27:E31" si="5">SUM(D27-C27)</f>
        <v>0</v>
      </c>
      <c r="F27" s="24">
        <v>0.020833333333333332</v>
      </c>
      <c r="G27" s="25">
        <f t="shared" ref="G27:G31" si="6">E27-F27</f>
        <v>-0.02083333333</v>
      </c>
    </row>
    <row r="28" ht="12.75" customHeight="1">
      <c r="B28" s="19" t="s">
        <v>14</v>
      </c>
      <c r="C28" s="21">
        <v>0.4166666666666667</v>
      </c>
      <c r="D28" s="21">
        <v>0.4166666666666667</v>
      </c>
      <c r="E28" s="23">
        <f t="shared" si="5"/>
        <v>0</v>
      </c>
      <c r="F28" s="24">
        <v>0.020833333333333332</v>
      </c>
      <c r="G28" s="25">
        <f t="shared" si="6"/>
        <v>-0.02083333333</v>
      </c>
    </row>
    <row r="29" ht="12.75" customHeight="1">
      <c r="B29" s="19" t="s">
        <v>15</v>
      </c>
      <c r="C29" s="21">
        <v>0.4166666666666667</v>
      </c>
      <c r="D29" s="21">
        <v>0.4166666666666667</v>
      </c>
      <c r="E29" s="23">
        <f t="shared" si="5"/>
        <v>0</v>
      </c>
      <c r="F29" s="24">
        <v>0.020833333333333332</v>
      </c>
      <c r="G29" s="25">
        <f t="shared" si="6"/>
        <v>-0.02083333333</v>
      </c>
    </row>
    <row r="30" ht="12.75" customHeight="1">
      <c r="B30" s="19" t="s">
        <v>16</v>
      </c>
      <c r="C30" s="21">
        <v>0.4166666666666667</v>
      </c>
      <c r="D30" s="21">
        <v>0.4166666666666667</v>
      </c>
      <c r="E30" s="23">
        <f t="shared" si="5"/>
        <v>0</v>
      </c>
      <c r="F30" s="24">
        <v>0.020833333333333332</v>
      </c>
      <c r="G30" s="25">
        <f t="shared" si="6"/>
        <v>-0.02083333333</v>
      </c>
    </row>
    <row r="31" ht="12.75" customHeight="1">
      <c r="B31" s="26" t="s">
        <v>17</v>
      </c>
      <c r="C31" s="28">
        <v>0.4166666666666667</v>
      </c>
      <c r="D31" s="28">
        <v>0.4166666666666667</v>
      </c>
      <c r="E31" s="29">
        <f t="shared" si="5"/>
        <v>0</v>
      </c>
      <c r="F31" s="30">
        <v>0.020833333333333332</v>
      </c>
      <c r="G31" s="32">
        <f t="shared" si="6"/>
        <v>-0.02083333333</v>
      </c>
    </row>
    <row r="32" ht="12.75" customHeight="1">
      <c r="B32" s="33"/>
      <c r="C32" s="34"/>
      <c r="D32" s="34"/>
      <c r="E32" s="35">
        <f>SUM(E27:E31)</f>
        <v>0</v>
      </c>
      <c r="F32" s="36"/>
      <c r="G32" s="35">
        <f>SUM(G27:G31)</f>
        <v>-0.1041666667</v>
      </c>
    </row>
    <row r="33" ht="12.75" customHeight="1"/>
    <row r="34" ht="12.75" customHeight="1"/>
    <row r="35" ht="20.25" customHeight="1">
      <c r="B35" s="9" t="s">
        <v>3</v>
      </c>
      <c r="C35" s="11"/>
      <c r="D35" s="14"/>
      <c r="E35" s="14"/>
      <c r="F35" s="14"/>
      <c r="G35" s="16"/>
    </row>
    <row r="36" ht="12.75" customHeight="1">
      <c r="B36" s="10" t="s">
        <v>4</v>
      </c>
      <c r="C36" s="13" t="s">
        <v>5</v>
      </c>
      <c r="D36" s="13" t="s">
        <v>6</v>
      </c>
      <c r="E36" s="13" t="s">
        <v>7</v>
      </c>
      <c r="F36" s="15" t="s">
        <v>8</v>
      </c>
      <c r="G36" s="17" t="s">
        <v>10</v>
      </c>
    </row>
    <row r="37" ht="12.75" customHeight="1">
      <c r="B37" s="19" t="s">
        <v>12</v>
      </c>
      <c r="C37" s="21">
        <v>0.4166666666666667</v>
      </c>
      <c r="D37" s="21">
        <v>0.4166666666666667</v>
      </c>
      <c r="E37" s="23">
        <f t="shared" ref="E37:E41" si="7">SUM(D37-C37)</f>
        <v>0</v>
      </c>
      <c r="F37" s="24">
        <v>0.020833333333333332</v>
      </c>
      <c r="G37" s="25">
        <f t="shared" ref="G37:G41" si="8">E37-F37</f>
        <v>-0.02083333333</v>
      </c>
    </row>
    <row r="38" ht="12.75" customHeight="1">
      <c r="B38" s="19" t="s">
        <v>14</v>
      </c>
      <c r="C38" s="21">
        <v>0.4166666666666667</v>
      </c>
      <c r="D38" s="21">
        <v>0.4166666666666667</v>
      </c>
      <c r="E38" s="23">
        <f t="shared" si="7"/>
        <v>0</v>
      </c>
      <c r="F38" s="24">
        <v>0.020833333333333332</v>
      </c>
      <c r="G38" s="25">
        <f t="shared" si="8"/>
        <v>-0.02083333333</v>
      </c>
    </row>
    <row r="39" ht="12.75" customHeight="1">
      <c r="B39" s="19" t="s">
        <v>15</v>
      </c>
      <c r="C39" s="21">
        <v>0.4166666666666667</v>
      </c>
      <c r="D39" s="21">
        <v>0.4166666666666667</v>
      </c>
      <c r="E39" s="23">
        <f t="shared" si="7"/>
        <v>0</v>
      </c>
      <c r="F39" s="24">
        <v>0.020833333333333332</v>
      </c>
      <c r="G39" s="25">
        <f t="shared" si="8"/>
        <v>-0.02083333333</v>
      </c>
    </row>
    <row r="40" ht="12.75" customHeight="1">
      <c r="B40" s="19" t="s">
        <v>16</v>
      </c>
      <c r="C40" s="21">
        <v>0.4166666666666667</v>
      </c>
      <c r="D40" s="21">
        <v>0.4166666666666667</v>
      </c>
      <c r="E40" s="23">
        <f t="shared" si="7"/>
        <v>0</v>
      </c>
      <c r="F40" s="24">
        <v>0.020833333333333332</v>
      </c>
      <c r="G40" s="25">
        <f t="shared" si="8"/>
        <v>-0.02083333333</v>
      </c>
    </row>
    <row r="41" ht="12.75" customHeight="1">
      <c r="B41" s="26" t="s">
        <v>17</v>
      </c>
      <c r="C41" s="28">
        <v>0.4166666666666667</v>
      </c>
      <c r="D41" s="28">
        <v>0.4166666666666667</v>
      </c>
      <c r="E41" s="29">
        <f t="shared" si="7"/>
        <v>0</v>
      </c>
      <c r="F41" s="30">
        <v>0.020833333333333332</v>
      </c>
      <c r="G41" s="32">
        <f t="shared" si="8"/>
        <v>-0.02083333333</v>
      </c>
    </row>
    <row r="42" ht="12.75" customHeight="1">
      <c r="B42" s="33"/>
      <c r="C42" s="34"/>
      <c r="D42" s="34"/>
      <c r="E42" s="35">
        <f>SUM(E37:E41)</f>
        <v>0</v>
      </c>
      <c r="F42" s="36"/>
      <c r="G42" s="35">
        <f>SUM(G37:G41)</f>
        <v>-0.1041666667</v>
      </c>
    </row>
    <row r="43" ht="12.75" customHeight="1"/>
    <row r="44" ht="12.75" customHeight="1"/>
    <row r="45" ht="17.25" customHeight="1">
      <c r="B45" s="9" t="s">
        <v>3</v>
      </c>
      <c r="C45" s="11"/>
      <c r="D45" s="14"/>
      <c r="E45" s="14"/>
      <c r="F45" s="14"/>
      <c r="G45" s="16"/>
    </row>
    <row r="46" ht="12.75" customHeight="1">
      <c r="B46" s="10" t="s">
        <v>4</v>
      </c>
      <c r="C46" s="13" t="s">
        <v>5</v>
      </c>
      <c r="D46" s="13" t="s">
        <v>6</v>
      </c>
      <c r="E46" s="13" t="s">
        <v>7</v>
      </c>
      <c r="F46" s="15" t="s">
        <v>8</v>
      </c>
      <c r="G46" s="17" t="s">
        <v>10</v>
      </c>
    </row>
    <row r="47" ht="12.75" customHeight="1">
      <c r="B47" s="19" t="s">
        <v>12</v>
      </c>
      <c r="C47" s="21">
        <v>0.4166666666666667</v>
      </c>
      <c r="D47" s="21">
        <v>0.4166666666666667</v>
      </c>
      <c r="E47" s="23">
        <f t="shared" ref="E47:E51" si="9">SUM(D47-C47)</f>
        <v>0</v>
      </c>
      <c r="F47" s="24">
        <v>0.020833333333333332</v>
      </c>
      <c r="G47" s="25">
        <f t="shared" ref="G47:G51" si="10">E47-F47</f>
        <v>-0.02083333333</v>
      </c>
    </row>
    <row r="48" ht="12.75" customHeight="1">
      <c r="B48" s="19" t="s">
        <v>14</v>
      </c>
      <c r="C48" s="21">
        <v>0.4166666666666667</v>
      </c>
      <c r="D48" s="21">
        <v>0.4166666666666667</v>
      </c>
      <c r="E48" s="23">
        <f t="shared" si="9"/>
        <v>0</v>
      </c>
      <c r="F48" s="24">
        <v>0.020833333333333332</v>
      </c>
      <c r="G48" s="25">
        <f t="shared" si="10"/>
        <v>-0.02083333333</v>
      </c>
    </row>
    <row r="49" ht="12.75" customHeight="1">
      <c r="B49" s="19" t="s">
        <v>15</v>
      </c>
      <c r="C49" s="21">
        <v>0.4166666666666667</v>
      </c>
      <c r="D49" s="21">
        <v>0.4166666666666667</v>
      </c>
      <c r="E49" s="23">
        <f t="shared" si="9"/>
        <v>0</v>
      </c>
      <c r="F49" s="24">
        <v>0.020833333333333332</v>
      </c>
      <c r="G49" s="25">
        <f t="shared" si="10"/>
        <v>-0.02083333333</v>
      </c>
    </row>
    <row r="50" ht="12.75" customHeight="1">
      <c r="B50" s="19" t="s">
        <v>16</v>
      </c>
      <c r="C50" s="21">
        <v>0.4166666666666667</v>
      </c>
      <c r="D50" s="21">
        <v>0.4166666666666667</v>
      </c>
      <c r="E50" s="23">
        <f t="shared" si="9"/>
        <v>0</v>
      </c>
      <c r="F50" s="24">
        <v>0.020833333333333332</v>
      </c>
      <c r="G50" s="25">
        <f t="shared" si="10"/>
        <v>-0.02083333333</v>
      </c>
    </row>
    <row r="51" ht="12.75" customHeight="1">
      <c r="B51" s="26" t="s">
        <v>17</v>
      </c>
      <c r="C51" s="28">
        <v>0.4166666666666667</v>
      </c>
      <c r="D51" s="28">
        <v>0.4166666666666667</v>
      </c>
      <c r="E51" s="29">
        <f t="shared" si="9"/>
        <v>0</v>
      </c>
      <c r="F51" s="30">
        <v>0.020833333333333332</v>
      </c>
      <c r="G51" s="32">
        <f t="shared" si="10"/>
        <v>-0.02083333333</v>
      </c>
    </row>
    <row r="52" ht="12.75" customHeight="1">
      <c r="B52" s="33"/>
      <c r="C52" s="34"/>
      <c r="D52" s="34"/>
      <c r="E52" s="35">
        <f>SUM(E47:E51)</f>
        <v>0</v>
      </c>
      <c r="F52" s="36"/>
      <c r="G52" s="35">
        <f>SUM(G47:G51)</f>
        <v>-0.1041666667</v>
      </c>
    </row>
    <row r="53" ht="12.75" customHeight="1"/>
    <row r="54" ht="12.75" customHeight="1"/>
    <row r="55" ht="18.0" customHeight="1">
      <c r="B55" s="9" t="s">
        <v>3</v>
      </c>
      <c r="C55" s="11"/>
      <c r="D55" s="14"/>
      <c r="E55" s="14"/>
      <c r="F55" s="14"/>
      <c r="G55" s="16"/>
    </row>
    <row r="56" ht="12.75" customHeight="1">
      <c r="B56" s="10" t="s">
        <v>4</v>
      </c>
      <c r="C56" s="13" t="s">
        <v>5</v>
      </c>
      <c r="D56" s="13" t="s">
        <v>6</v>
      </c>
      <c r="E56" s="13" t="s">
        <v>7</v>
      </c>
      <c r="F56" s="15" t="s">
        <v>8</v>
      </c>
      <c r="G56" s="17" t="s">
        <v>10</v>
      </c>
    </row>
    <row r="57" ht="12.75" customHeight="1">
      <c r="B57" s="19" t="s">
        <v>12</v>
      </c>
      <c r="C57" s="21">
        <v>0.4166666666666667</v>
      </c>
      <c r="D57" s="21">
        <v>0.4166666666666667</v>
      </c>
      <c r="E57" s="23">
        <f t="shared" ref="E57:E61" si="11">SUM(D57-C57)</f>
        <v>0</v>
      </c>
      <c r="F57" s="24">
        <v>0.020833333333333332</v>
      </c>
      <c r="G57" s="25">
        <f t="shared" ref="G57:G61" si="12">E57-F57</f>
        <v>-0.02083333333</v>
      </c>
    </row>
    <row r="58" ht="12.75" customHeight="1">
      <c r="B58" s="19" t="s">
        <v>14</v>
      </c>
      <c r="C58" s="21">
        <v>0.4166666666666667</v>
      </c>
      <c r="D58" s="21">
        <v>0.4166666666666667</v>
      </c>
      <c r="E58" s="23">
        <f t="shared" si="11"/>
        <v>0</v>
      </c>
      <c r="F58" s="24">
        <v>0.020833333333333332</v>
      </c>
      <c r="G58" s="25">
        <f t="shared" si="12"/>
        <v>-0.02083333333</v>
      </c>
    </row>
    <row r="59" ht="12.75" customHeight="1">
      <c r="B59" s="19" t="s">
        <v>15</v>
      </c>
      <c r="C59" s="21">
        <v>0.4166666666666667</v>
      </c>
      <c r="D59" s="21">
        <v>0.4166666666666667</v>
      </c>
      <c r="E59" s="23">
        <f t="shared" si="11"/>
        <v>0</v>
      </c>
      <c r="F59" s="24">
        <v>0.020833333333333332</v>
      </c>
      <c r="G59" s="25">
        <f t="shared" si="12"/>
        <v>-0.02083333333</v>
      </c>
    </row>
    <row r="60" ht="12.75" customHeight="1">
      <c r="B60" s="19" t="s">
        <v>16</v>
      </c>
      <c r="C60" s="21">
        <v>0.4166666666666667</v>
      </c>
      <c r="D60" s="21">
        <v>0.4166666666666667</v>
      </c>
      <c r="E60" s="23">
        <f t="shared" si="11"/>
        <v>0</v>
      </c>
      <c r="F60" s="24">
        <v>0.020833333333333332</v>
      </c>
      <c r="G60" s="25">
        <f t="shared" si="12"/>
        <v>-0.02083333333</v>
      </c>
    </row>
    <row r="61" ht="12.75" customHeight="1">
      <c r="B61" s="26" t="s">
        <v>17</v>
      </c>
      <c r="C61" s="28">
        <v>0.4166666666666667</v>
      </c>
      <c r="D61" s="28">
        <v>0.4166666666666667</v>
      </c>
      <c r="E61" s="29">
        <f t="shared" si="11"/>
        <v>0</v>
      </c>
      <c r="F61" s="30">
        <v>0.020833333333333332</v>
      </c>
      <c r="G61" s="32">
        <f t="shared" si="12"/>
        <v>-0.02083333333</v>
      </c>
    </row>
    <row r="62" ht="12.75" customHeight="1">
      <c r="B62" s="33"/>
      <c r="C62" s="34"/>
      <c r="D62" s="34"/>
      <c r="E62" s="35">
        <f>SUM(E57:E61)</f>
        <v>0</v>
      </c>
      <c r="F62" s="36"/>
      <c r="G62" s="35">
        <f>SUM(G57:G61)</f>
        <v>-0.1041666667</v>
      </c>
    </row>
    <row r="63" ht="12.75" customHeight="1"/>
    <row r="64" ht="12.75" customHeight="1"/>
    <row r="65" ht="18.75" customHeight="1">
      <c r="B65" s="9" t="s">
        <v>3</v>
      </c>
      <c r="C65" s="11"/>
      <c r="D65" s="14"/>
      <c r="E65" s="14"/>
      <c r="F65" s="14"/>
      <c r="G65" s="16"/>
    </row>
    <row r="66" ht="12.75" customHeight="1">
      <c r="B66" s="10" t="s">
        <v>4</v>
      </c>
      <c r="C66" s="13" t="s">
        <v>5</v>
      </c>
      <c r="D66" s="13" t="s">
        <v>6</v>
      </c>
      <c r="E66" s="13" t="s">
        <v>7</v>
      </c>
      <c r="F66" s="15" t="s">
        <v>8</v>
      </c>
      <c r="G66" s="17" t="s">
        <v>10</v>
      </c>
    </row>
    <row r="67" ht="12.75" customHeight="1">
      <c r="B67" s="19" t="s">
        <v>12</v>
      </c>
      <c r="C67" s="21">
        <v>0.4166666666666667</v>
      </c>
      <c r="D67" s="21">
        <v>0.4166666666666667</v>
      </c>
      <c r="E67" s="23">
        <f t="shared" ref="E67:E71" si="13">SUM(D67-C67)</f>
        <v>0</v>
      </c>
      <c r="F67" s="24">
        <v>0.020833333333333332</v>
      </c>
      <c r="G67" s="25">
        <f t="shared" ref="G67:G71" si="14">E67-F67</f>
        <v>-0.02083333333</v>
      </c>
    </row>
    <row r="68" ht="12.75" customHeight="1">
      <c r="B68" s="19" t="s">
        <v>14</v>
      </c>
      <c r="C68" s="21">
        <v>0.4166666666666667</v>
      </c>
      <c r="D68" s="21">
        <v>0.4166666666666667</v>
      </c>
      <c r="E68" s="23">
        <f t="shared" si="13"/>
        <v>0</v>
      </c>
      <c r="F68" s="24">
        <v>0.020833333333333332</v>
      </c>
      <c r="G68" s="25">
        <f t="shared" si="14"/>
        <v>-0.02083333333</v>
      </c>
    </row>
    <row r="69" ht="12.75" customHeight="1">
      <c r="B69" s="19" t="s">
        <v>15</v>
      </c>
      <c r="C69" s="21">
        <v>0.4166666666666667</v>
      </c>
      <c r="D69" s="21">
        <v>0.4166666666666667</v>
      </c>
      <c r="E69" s="23">
        <f t="shared" si="13"/>
        <v>0</v>
      </c>
      <c r="F69" s="24">
        <v>0.020833333333333332</v>
      </c>
      <c r="G69" s="25">
        <f t="shared" si="14"/>
        <v>-0.02083333333</v>
      </c>
    </row>
    <row r="70" ht="12.75" customHeight="1">
      <c r="B70" s="19" t="s">
        <v>16</v>
      </c>
      <c r="C70" s="21">
        <v>0.4166666666666667</v>
      </c>
      <c r="D70" s="21">
        <v>0.4166666666666667</v>
      </c>
      <c r="E70" s="23">
        <f t="shared" si="13"/>
        <v>0</v>
      </c>
      <c r="F70" s="24">
        <v>0.020833333333333332</v>
      </c>
      <c r="G70" s="25">
        <f t="shared" si="14"/>
        <v>-0.02083333333</v>
      </c>
    </row>
    <row r="71" ht="12.75" customHeight="1">
      <c r="B71" s="26" t="s">
        <v>17</v>
      </c>
      <c r="C71" s="28">
        <v>0.4166666666666667</v>
      </c>
      <c r="D71" s="28">
        <v>0.4166666666666667</v>
      </c>
      <c r="E71" s="29">
        <f t="shared" si="13"/>
        <v>0</v>
      </c>
      <c r="F71" s="30">
        <v>0.020833333333333332</v>
      </c>
      <c r="G71" s="32">
        <f t="shared" si="14"/>
        <v>-0.02083333333</v>
      </c>
    </row>
    <row r="72" ht="12.75" customHeight="1">
      <c r="B72" s="33"/>
      <c r="C72" s="34"/>
      <c r="D72" s="34"/>
      <c r="E72" s="35">
        <f>SUM(E67:E71)</f>
        <v>0</v>
      </c>
      <c r="F72" s="36"/>
      <c r="G72" s="35">
        <f>SUM(G67:G71)</f>
        <v>-0.1041666667</v>
      </c>
    </row>
    <row r="73" ht="12.75" customHeight="1"/>
    <row r="74" ht="12.75" customHeight="1"/>
    <row r="75" ht="20.25" customHeight="1">
      <c r="B75" s="9" t="s">
        <v>3</v>
      </c>
      <c r="C75" s="11"/>
      <c r="D75" s="14"/>
      <c r="E75" s="14"/>
      <c r="F75" s="14"/>
      <c r="G75" s="16"/>
    </row>
    <row r="76" ht="12.75" customHeight="1">
      <c r="B76" s="10" t="s">
        <v>4</v>
      </c>
      <c r="C76" s="13" t="s">
        <v>5</v>
      </c>
      <c r="D76" s="13" t="s">
        <v>6</v>
      </c>
      <c r="E76" s="13" t="s">
        <v>7</v>
      </c>
      <c r="F76" s="15" t="s">
        <v>8</v>
      </c>
      <c r="G76" s="17" t="s">
        <v>10</v>
      </c>
    </row>
    <row r="77" ht="12.75" customHeight="1">
      <c r="B77" s="19" t="s">
        <v>12</v>
      </c>
      <c r="C77" s="21">
        <v>0.4166666666666667</v>
      </c>
      <c r="D77" s="21">
        <v>0.4166666666666667</v>
      </c>
      <c r="E77" s="23">
        <f t="shared" ref="E77:E81" si="15">SUM(D77-C77)</f>
        <v>0</v>
      </c>
      <c r="F77" s="24">
        <v>0.020833333333333332</v>
      </c>
      <c r="G77" s="25">
        <f t="shared" ref="G77:G81" si="16">E77-F77</f>
        <v>-0.02083333333</v>
      </c>
    </row>
    <row r="78" ht="12.75" customHeight="1">
      <c r="B78" s="19" t="s">
        <v>14</v>
      </c>
      <c r="C78" s="21">
        <v>0.4166666666666667</v>
      </c>
      <c r="D78" s="21">
        <v>0.4166666666666667</v>
      </c>
      <c r="E78" s="23">
        <f t="shared" si="15"/>
        <v>0</v>
      </c>
      <c r="F78" s="24">
        <v>0.020833333333333332</v>
      </c>
      <c r="G78" s="25">
        <f t="shared" si="16"/>
        <v>-0.02083333333</v>
      </c>
    </row>
    <row r="79" ht="12.75" customHeight="1">
      <c r="B79" s="19" t="s">
        <v>15</v>
      </c>
      <c r="C79" s="21">
        <v>0.4166666666666667</v>
      </c>
      <c r="D79" s="21">
        <v>0.4166666666666667</v>
      </c>
      <c r="E79" s="23">
        <f t="shared" si="15"/>
        <v>0</v>
      </c>
      <c r="F79" s="24">
        <v>0.020833333333333332</v>
      </c>
      <c r="G79" s="25">
        <f t="shared" si="16"/>
        <v>-0.02083333333</v>
      </c>
    </row>
    <row r="80" ht="12.75" customHeight="1">
      <c r="B80" s="19" t="s">
        <v>16</v>
      </c>
      <c r="C80" s="21">
        <v>0.4166666666666667</v>
      </c>
      <c r="D80" s="21">
        <v>0.4166666666666667</v>
      </c>
      <c r="E80" s="23">
        <f t="shared" si="15"/>
        <v>0</v>
      </c>
      <c r="F80" s="24">
        <v>0.020833333333333332</v>
      </c>
      <c r="G80" s="25">
        <f t="shared" si="16"/>
        <v>-0.02083333333</v>
      </c>
    </row>
    <row r="81" ht="12.75" customHeight="1">
      <c r="B81" s="26" t="s">
        <v>17</v>
      </c>
      <c r="C81" s="28">
        <v>0.4166666666666667</v>
      </c>
      <c r="D81" s="28">
        <v>0.4166666666666667</v>
      </c>
      <c r="E81" s="29">
        <f t="shared" si="15"/>
        <v>0</v>
      </c>
      <c r="F81" s="30">
        <v>0.020833333333333332</v>
      </c>
      <c r="G81" s="32">
        <f t="shared" si="16"/>
        <v>-0.02083333333</v>
      </c>
    </row>
    <row r="82" ht="12.75" customHeight="1">
      <c r="B82" s="33"/>
      <c r="C82" s="34"/>
      <c r="D82" s="34"/>
      <c r="E82" s="35">
        <f>SUM(E77:E81)</f>
        <v>0</v>
      </c>
      <c r="F82" s="36"/>
      <c r="G82" s="35">
        <f>SUM(G77:G81)</f>
        <v>-0.1041666667</v>
      </c>
    </row>
    <row r="83" ht="12.75" customHeight="1"/>
    <row r="84" ht="12.75" customHeight="1"/>
    <row r="85" ht="17.25" customHeight="1">
      <c r="B85" s="9" t="s">
        <v>3</v>
      </c>
      <c r="C85" s="11"/>
      <c r="D85" s="14"/>
      <c r="E85" s="14"/>
      <c r="F85" s="14"/>
      <c r="G85" s="16"/>
    </row>
    <row r="86" ht="12.75" customHeight="1">
      <c r="B86" s="10" t="s">
        <v>4</v>
      </c>
      <c r="C86" s="13" t="s">
        <v>5</v>
      </c>
      <c r="D86" s="13" t="s">
        <v>6</v>
      </c>
      <c r="E86" s="13" t="s">
        <v>7</v>
      </c>
      <c r="F86" s="15" t="s">
        <v>8</v>
      </c>
      <c r="G86" s="17" t="s">
        <v>10</v>
      </c>
    </row>
    <row r="87" ht="12.75" customHeight="1">
      <c r="B87" s="19" t="s">
        <v>12</v>
      </c>
      <c r="C87" s="21">
        <v>0.4166666666666667</v>
      </c>
      <c r="D87" s="21">
        <v>0.4166666666666667</v>
      </c>
      <c r="E87" s="23">
        <f t="shared" ref="E87:E91" si="17">SUM(D87-C87)</f>
        <v>0</v>
      </c>
      <c r="F87" s="24">
        <v>0.020833333333333332</v>
      </c>
      <c r="G87" s="25">
        <f t="shared" ref="G87:G91" si="18">E87-F87</f>
        <v>-0.02083333333</v>
      </c>
    </row>
    <row r="88" ht="12.75" customHeight="1">
      <c r="B88" s="19" t="s">
        <v>14</v>
      </c>
      <c r="C88" s="21">
        <v>0.4166666666666667</v>
      </c>
      <c r="D88" s="21">
        <v>0.4166666666666667</v>
      </c>
      <c r="E88" s="23">
        <f t="shared" si="17"/>
        <v>0</v>
      </c>
      <c r="F88" s="24">
        <v>0.020833333333333332</v>
      </c>
      <c r="G88" s="25">
        <f t="shared" si="18"/>
        <v>-0.02083333333</v>
      </c>
    </row>
    <row r="89" ht="12.75" customHeight="1">
      <c r="B89" s="19" t="s">
        <v>15</v>
      </c>
      <c r="C89" s="21">
        <v>0.4166666666666667</v>
      </c>
      <c r="D89" s="21">
        <v>0.4166666666666667</v>
      </c>
      <c r="E89" s="23">
        <f t="shared" si="17"/>
        <v>0</v>
      </c>
      <c r="F89" s="24">
        <v>0.020833333333333332</v>
      </c>
      <c r="G89" s="25">
        <f t="shared" si="18"/>
        <v>-0.02083333333</v>
      </c>
    </row>
    <row r="90" ht="12.75" customHeight="1">
      <c r="B90" s="19" t="s">
        <v>16</v>
      </c>
      <c r="C90" s="21">
        <v>0.4166666666666667</v>
      </c>
      <c r="D90" s="21">
        <v>0.4166666666666667</v>
      </c>
      <c r="E90" s="23">
        <f t="shared" si="17"/>
        <v>0</v>
      </c>
      <c r="F90" s="24">
        <v>0.020833333333333332</v>
      </c>
      <c r="G90" s="25">
        <f t="shared" si="18"/>
        <v>-0.02083333333</v>
      </c>
    </row>
    <row r="91" ht="12.75" customHeight="1">
      <c r="B91" s="26" t="s">
        <v>17</v>
      </c>
      <c r="C91" s="28">
        <v>0.4166666666666667</v>
      </c>
      <c r="D91" s="28">
        <v>0.4166666666666667</v>
      </c>
      <c r="E91" s="29">
        <f t="shared" si="17"/>
        <v>0</v>
      </c>
      <c r="F91" s="30">
        <v>0.020833333333333332</v>
      </c>
      <c r="G91" s="32">
        <f t="shared" si="18"/>
        <v>-0.02083333333</v>
      </c>
    </row>
    <row r="92" ht="12.75" customHeight="1">
      <c r="B92" s="33"/>
      <c r="C92" s="34"/>
      <c r="D92" s="34"/>
      <c r="E92" s="35">
        <f>SUM(E87:E91)</f>
        <v>0</v>
      </c>
      <c r="F92" s="36"/>
      <c r="G92" s="35">
        <f>SUM(G87:G91)</f>
        <v>-0.1041666667</v>
      </c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9">
    <mergeCell ref="C75:G75"/>
    <mergeCell ref="C85:G85"/>
    <mergeCell ref="C5:G5"/>
    <mergeCell ref="C15:G15"/>
    <mergeCell ref="C25:G25"/>
    <mergeCell ref="C35:G35"/>
    <mergeCell ref="C45:G45"/>
    <mergeCell ref="C55:G55"/>
    <mergeCell ref="C65:G65"/>
  </mergeCells>
  <printOptions/>
  <pageMargins bottom="0.75" footer="0.0" header="0.0" left="0.7" right="0.7" top="0.75"/>
  <pageSetup paperSize="9" orientation="landscape"/>
  <headerFooter>
    <oddHeader>&amp;C&amp;D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63"/>
    <col customWidth="1" min="3" max="3" width="14.75"/>
    <col customWidth="1" min="4" max="4" width="12.63"/>
    <col customWidth="1" min="5" max="6" width="10.25"/>
    <col customWidth="1" min="7" max="8" width="11.0"/>
    <col customWidth="1" min="9" max="9" width="11.38"/>
    <col customWidth="1" min="10" max="26" width="8.75"/>
  </cols>
  <sheetData>
    <row r="1" ht="12.75" customHeight="1">
      <c r="A1" s="1" t="s">
        <v>0</v>
      </c>
    </row>
    <row r="2" ht="12.75" customHeight="1">
      <c r="D2" s="4" t="s">
        <v>2</v>
      </c>
    </row>
    <row r="3" ht="13.5" customHeight="1">
      <c r="B3" s="6"/>
      <c r="C3" s="7"/>
      <c r="D3" s="7"/>
      <c r="E3" s="8"/>
      <c r="F3" s="4"/>
    </row>
    <row r="4" ht="15.0" customHeight="1">
      <c r="B4" s="10" t="s">
        <v>4</v>
      </c>
      <c r="C4" s="13" t="s">
        <v>5</v>
      </c>
      <c r="D4" s="13" t="s">
        <v>6</v>
      </c>
      <c r="E4" s="13" t="s">
        <v>7</v>
      </c>
      <c r="F4" s="15" t="s">
        <v>8</v>
      </c>
      <c r="G4" s="17" t="s">
        <v>10</v>
      </c>
      <c r="H4" s="18" t="s">
        <v>11</v>
      </c>
      <c r="I4" s="20" t="s">
        <v>13</v>
      </c>
    </row>
    <row r="5" ht="15.0" customHeight="1">
      <c r="B5" s="19" t="s">
        <v>12</v>
      </c>
      <c r="C5" s="21">
        <v>0.375</v>
      </c>
      <c r="D5" s="21">
        <v>0.7291666666666666</v>
      </c>
      <c r="E5" s="23">
        <f t="shared" ref="E5:E10" si="1">SUM(D5-C5)</f>
        <v>0.3541666667</v>
      </c>
      <c r="F5" s="24">
        <v>0.020833333333333332</v>
      </c>
      <c r="G5" s="25">
        <f t="shared" ref="G5:G10" si="2">E5-F5</f>
        <v>0.3333333333</v>
      </c>
      <c r="H5" s="27">
        <f t="shared" ref="H5:H10" si="3">G5*C$26*24</f>
        <v>27.5</v>
      </c>
      <c r="I5" s="31">
        <f t="shared" ref="I5:I9" si="4">H5*4</f>
        <v>110</v>
      </c>
    </row>
    <row r="6" ht="15.0" customHeight="1">
      <c r="B6" s="19" t="s">
        <v>14</v>
      </c>
      <c r="C6" s="21">
        <v>0.375</v>
      </c>
      <c r="D6" s="21">
        <v>0.7291666666666666</v>
      </c>
      <c r="E6" s="23">
        <f t="shared" si="1"/>
        <v>0.3541666667</v>
      </c>
      <c r="F6" s="24">
        <v>0.020833333333333332</v>
      </c>
      <c r="G6" s="25">
        <f t="shared" si="2"/>
        <v>0.3333333333</v>
      </c>
      <c r="H6" s="27">
        <f t="shared" si="3"/>
        <v>27.5</v>
      </c>
      <c r="I6" s="31">
        <f t="shared" si="4"/>
        <v>110</v>
      </c>
    </row>
    <row r="7" ht="15.0" customHeight="1">
      <c r="B7" s="19" t="s">
        <v>15</v>
      </c>
      <c r="C7" s="21">
        <v>0.375</v>
      </c>
      <c r="D7" s="21">
        <v>0.7291666666666666</v>
      </c>
      <c r="E7" s="23">
        <f t="shared" si="1"/>
        <v>0.3541666667</v>
      </c>
      <c r="F7" s="24">
        <v>0.020833333333333332</v>
      </c>
      <c r="G7" s="25">
        <f t="shared" si="2"/>
        <v>0.3333333333</v>
      </c>
      <c r="H7" s="27">
        <f t="shared" si="3"/>
        <v>27.5</v>
      </c>
      <c r="I7" s="31">
        <f t="shared" si="4"/>
        <v>110</v>
      </c>
    </row>
    <row r="8" ht="15.0" customHeight="1">
      <c r="B8" s="19" t="s">
        <v>16</v>
      </c>
      <c r="C8" s="21">
        <v>0.375</v>
      </c>
      <c r="D8" s="21">
        <v>0.7291666666666666</v>
      </c>
      <c r="E8" s="23">
        <f t="shared" si="1"/>
        <v>0.3541666667</v>
      </c>
      <c r="F8" s="24">
        <v>0.020833333333333332</v>
      </c>
      <c r="G8" s="25">
        <f t="shared" si="2"/>
        <v>0.3333333333</v>
      </c>
      <c r="H8" s="27">
        <f t="shared" si="3"/>
        <v>27.5</v>
      </c>
      <c r="I8" s="31">
        <f t="shared" si="4"/>
        <v>110</v>
      </c>
    </row>
    <row r="9" ht="15.0" customHeight="1">
      <c r="B9" s="19" t="s">
        <v>17</v>
      </c>
      <c r="C9" s="21">
        <v>0.375</v>
      </c>
      <c r="D9" s="21">
        <v>0.7291666666666666</v>
      </c>
      <c r="E9" s="23">
        <f t="shared" si="1"/>
        <v>0.3541666667</v>
      </c>
      <c r="F9" s="24">
        <v>0.020833333333333332</v>
      </c>
      <c r="G9" s="25">
        <f t="shared" si="2"/>
        <v>0.3333333333</v>
      </c>
      <c r="H9" s="27">
        <f t="shared" si="3"/>
        <v>27.5</v>
      </c>
      <c r="I9" s="31">
        <f t="shared" si="4"/>
        <v>110</v>
      </c>
    </row>
    <row r="10" ht="15.75" customHeight="1">
      <c r="B10" s="26" t="s">
        <v>19</v>
      </c>
      <c r="C10" s="28">
        <v>0.375</v>
      </c>
      <c r="D10" s="28">
        <v>0.375</v>
      </c>
      <c r="E10" s="29">
        <f t="shared" si="1"/>
        <v>0</v>
      </c>
      <c r="F10" s="24"/>
      <c r="G10" s="32">
        <f t="shared" si="2"/>
        <v>0</v>
      </c>
      <c r="H10" s="27">
        <f t="shared" si="3"/>
        <v>0</v>
      </c>
      <c r="I10" s="43"/>
    </row>
    <row r="11" ht="15.75" customHeight="1">
      <c r="B11" s="33"/>
      <c r="C11" s="34"/>
      <c r="D11" s="34"/>
      <c r="E11" s="35">
        <f>SUM(E5:E10)</f>
        <v>1.770833333</v>
      </c>
      <c r="F11" s="36"/>
      <c r="G11" s="35">
        <f>SUM(G5:G10)</f>
        <v>1.666666667</v>
      </c>
      <c r="H11" s="47">
        <f>SUM(H5:H9)</f>
        <v>137.5</v>
      </c>
      <c r="I11" s="48">
        <f>H11*4</f>
        <v>550</v>
      </c>
    </row>
    <row r="12" ht="15.0" customHeight="1">
      <c r="B12" s="37"/>
      <c r="C12" s="38"/>
      <c r="D12" s="38"/>
      <c r="E12" s="39"/>
      <c r="F12" s="40"/>
      <c r="G12" s="42"/>
      <c r="H12" s="49"/>
    </row>
    <row r="13" ht="15.0" customHeight="1">
      <c r="B13" s="37"/>
      <c r="C13" s="38"/>
      <c r="D13" s="38"/>
      <c r="E13" s="39"/>
      <c r="F13" s="40"/>
      <c r="G13" s="42"/>
      <c r="H13" s="49"/>
    </row>
    <row r="14" ht="15.0" customHeight="1">
      <c r="B14" s="50" t="s">
        <v>20</v>
      </c>
      <c r="C14" s="38"/>
      <c r="D14" s="38"/>
      <c r="E14" s="51"/>
      <c r="F14" s="40"/>
      <c r="G14" s="42"/>
      <c r="H14" s="52"/>
    </row>
    <row r="15" ht="12.75" customHeight="1">
      <c r="B15" s="53" t="s">
        <v>21</v>
      </c>
      <c r="D15" s="6"/>
    </row>
    <row r="16" ht="12.75" customHeight="1">
      <c r="B16" s="53" t="s">
        <v>22</v>
      </c>
      <c r="D16" s="6"/>
    </row>
    <row r="17" ht="15.0" customHeight="1">
      <c r="B17" s="54"/>
      <c r="D17" s="6"/>
    </row>
    <row r="18" ht="15.0" customHeight="1">
      <c r="B18" s="54"/>
      <c r="D18" s="6"/>
    </row>
    <row r="19" ht="12.75" customHeight="1">
      <c r="C19" s="55" t="s">
        <v>23</v>
      </c>
      <c r="D19" s="55" t="s">
        <v>24</v>
      </c>
      <c r="E19" s="55" t="s">
        <v>25</v>
      </c>
      <c r="F19" s="56"/>
    </row>
    <row r="20" ht="15.75" customHeight="1">
      <c r="A20" s="57"/>
      <c r="B20" s="58"/>
      <c r="C20" s="59">
        <v>550.0</v>
      </c>
      <c r="D20" s="60">
        <v>160.0</v>
      </c>
      <c r="E20" s="60">
        <f>D20/2</f>
        <v>80</v>
      </c>
      <c r="F20" s="61">
        <f>C20/D20</f>
        <v>3.4375</v>
      </c>
      <c r="G20" s="6"/>
      <c r="H20" s="6"/>
    </row>
    <row r="21" ht="12.75" customHeight="1">
      <c r="A21" s="6"/>
      <c r="B21" s="6"/>
      <c r="C21" s="6"/>
      <c r="D21" s="6"/>
      <c r="E21" s="6"/>
      <c r="F21" s="62"/>
      <c r="G21" s="6"/>
      <c r="H21" s="6"/>
    </row>
    <row r="22" ht="12.75" customHeight="1">
      <c r="A22" s="6"/>
      <c r="B22" s="63" t="s">
        <v>26</v>
      </c>
      <c r="C22" s="64"/>
      <c r="D22" s="64"/>
      <c r="E22" s="64"/>
      <c r="F22" s="64"/>
      <c r="G22" s="64"/>
      <c r="H22" s="64"/>
      <c r="I22" s="6"/>
    </row>
    <row r="23" ht="26.25" customHeight="1">
      <c r="A23" s="65"/>
      <c r="B23" s="66" t="s">
        <v>3</v>
      </c>
      <c r="C23" s="67" t="s">
        <v>27</v>
      </c>
      <c r="D23" s="67" t="s">
        <v>28</v>
      </c>
      <c r="E23" s="68" t="s">
        <v>29</v>
      </c>
      <c r="F23" s="69" t="s">
        <v>30</v>
      </c>
      <c r="G23" s="69" t="s">
        <v>31</v>
      </c>
      <c r="H23" s="69" t="s">
        <v>32</v>
      </c>
      <c r="I23" s="69" t="s">
        <v>33</v>
      </c>
    </row>
    <row r="24" ht="13.5" customHeight="1">
      <c r="A24" s="6"/>
      <c r="B24" s="71" t="s">
        <v>34</v>
      </c>
      <c r="C24" s="72" t="s">
        <v>35</v>
      </c>
      <c r="D24" s="73" t="s">
        <v>36</v>
      </c>
      <c r="E24" s="74">
        <v>160.0</v>
      </c>
      <c r="F24" s="75">
        <v>80.0</v>
      </c>
      <c r="G24" s="76">
        <f>C20/4</f>
        <v>137.5</v>
      </c>
      <c r="H24" s="77">
        <v>40.0</v>
      </c>
      <c r="I24" s="78">
        <f>G24/H24</f>
        <v>3.4375</v>
      </c>
    </row>
    <row r="25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79" t="s">
        <v>37</v>
      </c>
      <c r="C26" s="80">
        <f>F20</f>
        <v>3.4375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/>
      <c r="B28" s="81" t="s">
        <v>38</v>
      </c>
      <c r="C28" s="82"/>
      <c r="D28" s="82"/>
      <c r="E28" s="82"/>
      <c r="F28" s="82"/>
      <c r="G28" s="82"/>
      <c r="H28" s="8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6"/>
      <c r="B29" s="84" t="s">
        <v>4</v>
      </c>
      <c r="C29" s="85" t="s">
        <v>5</v>
      </c>
      <c r="D29" s="85" t="s">
        <v>6</v>
      </c>
      <c r="E29" s="85" t="s">
        <v>7</v>
      </c>
      <c r="F29" s="86" t="s">
        <v>8</v>
      </c>
      <c r="G29" s="87" t="s">
        <v>10</v>
      </c>
      <c r="H29" s="88" t="s">
        <v>41</v>
      </c>
      <c r="I29" s="8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6"/>
      <c r="B30" s="90" t="s">
        <v>12</v>
      </c>
      <c r="C30" s="21">
        <v>0.375</v>
      </c>
      <c r="D30" s="21">
        <v>0.7291666666666666</v>
      </c>
      <c r="E30" s="23">
        <f t="shared" ref="E30:E35" si="5">SUM(D30-C30)</f>
        <v>0.3541666667</v>
      </c>
      <c r="F30" s="91">
        <v>0.020833333333333332</v>
      </c>
      <c r="G30" s="92">
        <f t="shared" ref="G30:G35" si="6">E30-F30</f>
        <v>0.3333333333</v>
      </c>
      <c r="H30" s="27">
        <f t="shared" ref="H30:H35" si="7">SUM(G30*$C$26)*24</f>
        <v>27.5</v>
      </c>
      <c r="I30" s="93"/>
      <c r="J30" s="9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6"/>
      <c r="B31" s="90" t="s">
        <v>14</v>
      </c>
      <c r="C31" s="21">
        <v>0.375</v>
      </c>
      <c r="D31" s="21">
        <v>0.7291666666666666</v>
      </c>
      <c r="E31" s="23">
        <f t="shared" si="5"/>
        <v>0.3541666667</v>
      </c>
      <c r="F31" s="91">
        <v>0.020833333333333332</v>
      </c>
      <c r="G31" s="92">
        <f t="shared" si="6"/>
        <v>0.3333333333</v>
      </c>
      <c r="H31" s="27">
        <f t="shared" si="7"/>
        <v>27.5</v>
      </c>
      <c r="I31" s="93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6"/>
      <c r="B32" s="90" t="s">
        <v>15</v>
      </c>
      <c r="C32" s="21">
        <v>0.375</v>
      </c>
      <c r="D32" s="21">
        <v>0.7291666666666666</v>
      </c>
      <c r="E32" s="23">
        <f t="shared" si="5"/>
        <v>0.3541666667</v>
      </c>
      <c r="F32" s="91">
        <v>0.020833333333333332</v>
      </c>
      <c r="G32" s="92">
        <f t="shared" si="6"/>
        <v>0.3333333333</v>
      </c>
      <c r="H32" s="27">
        <f t="shared" si="7"/>
        <v>27.5</v>
      </c>
      <c r="I32" s="93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6"/>
      <c r="B33" s="90" t="s">
        <v>16</v>
      </c>
      <c r="C33" s="21">
        <v>0.375</v>
      </c>
      <c r="D33" s="21">
        <v>0.7291666666666666</v>
      </c>
      <c r="E33" s="23">
        <f t="shared" si="5"/>
        <v>0.3541666667</v>
      </c>
      <c r="F33" s="91">
        <v>0.020833333333333332</v>
      </c>
      <c r="G33" s="92">
        <f t="shared" si="6"/>
        <v>0.3333333333</v>
      </c>
      <c r="H33" s="27">
        <f t="shared" si="7"/>
        <v>27.5</v>
      </c>
      <c r="I33" s="93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6"/>
      <c r="B34" s="90" t="s">
        <v>17</v>
      </c>
      <c r="C34" s="21">
        <v>0.375</v>
      </c>
      <c r="D34" s="21">
        <v>0.7291666666666666</v>
      </c>
      <c r="E34" s="23">
        <f t="shared" si="5"/>
        <v>0.3541666667</v>
      </c>
      <c r="F34" s="91">
        <v>0.020833333333333332</v>
      </c>
      <c r="G34" s="92">
        <f t="shared" si="6"/>
        <v>0.3333333333</v>
      </c>
      <c r="H34" s="27">
        <f t="shared" si="7"/>
        <v>27.5</v>
      </c>
      <c r="I34" s="9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26" t="s">
        <v>19</v>
      </c>
      <c r="C35" s="21">
        <v>0.375</v>
      </c>
      <c r="D35" s="28">
        <v>0.375</v>
      </c>
      <c r="E35" s="29">
        <f t="shared" si="5"/>
        <v>0</v>
      </c>
      <c r="F35" s="24">
        <v>0.0</v>
      </c>
      <c r="G35" s="32">
        <f t="shared" si="6"/>
        <v>0</v>
      </c>
      <c r="H35" s="27">
        <f t="shared" si="7"/>
        <v>0</v>
      </c>
      <c r="I35" s="9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96"/>
      <c r="C36" s="34"/>
      <c r="D36" s="34"/>
      <c r="E36" s="35">
        <f>SUM(E30:E35)</f>
        <v>1.770833333</v>
      </c>
      <c r="F36" s="36"/>
      <c r="G36" s="35">
        <f t="shared" ref="G36:H36" si="8">SUM(G30:G35)</f>
        <v>1.666666667</v>
      </c>
      <c r="H36" s="97">
        <f t="shared" si="8"/>
        <v>137.5</v>
      </c>
      <c r="I36" s="9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98"/>
      <c r="C37" s="99"/>
      <c r="D37" s="100"/>
      <c r="E37" s="101" t="s">
        <v>44</v>
      </c>
      <c r="F37" s="102"/>
      <c r="G37" s="102"/>
      <c r="H37" s="10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6"/>
      <c r="B38" s="98"/>
      <c r="C38" s="99"/>
      <c r="D38" s="100"/>
      <c r="E38" s="104"/>
      <c r="F38" s="100"/>
      <c r="G38" s="104"/>
      <c r="H38" s="5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/>
    <row r="40" ht="12.75" customHeight="1">
      <c r="B40" s="105" t="s">
        <v>45</v>
      </c>
      <c r="C40" s="106"/>
      <c r="D40" s="106"/>
      <c r="E40" s="106"/>
      <c r="F40" s="106"/>
      <c r="G40" s="106"/>
      <c r="H40" s="106"/>
      <c r="I40" s="107"/>
    </row>
    <row r="41" ht="12.75" customHeight="1">
      <c r="B41" s="109" t="s">
        <v>46</v>
      </c>
      <c r="C41" s="110"/>
      <c r="D41" s="110"/>
      <c r="E41" s="110"/>
      <c r="F41" s="110"/>
      <c r="G41" s="110"/>
      <c r="H41" s="110"/>
      <c r="I41" s="111"/>
    </row>
    <row r="42" ht="12.75" customHeight="1">
      <c r="B42" s="113" t="s">
        <v>47</v>
      </c>
      <c r="C42" s="114" t="s">
        <v>48</v>
      </c>
      <c r="D42" s="82"/>
      <c r="E42" s="83"/>
      <c r="F42" s="115" t="s">
        <v>49</v>
      </c>
      <c r="G42" s="116" t="s">
        <v>50</v>
      </c>
      <c r="H42" s="117" t="s">
        <v>51</v>
      </c>
      <c r="I42" s="118" t="s">
        <v>52</v>
      </c>
    </row>
    <row r="43" ht="17.25" customHeight="1">
      <c r="B43" s="119"/>
      <c r="C43" s="120" t="s">
        <v>53</v>
      </c>
      <c r="D43" s="106"/>
      <c r="E43" s="107"/>
      <c r="F43" s="121">
        <v>82.5</v>
      </c>
      <c r="G43" s="122"/>
      <c r="H43" s="122">
        <f>F43</f>
        <v>82.5</v>
      </c>
      <c r="I43" s="123"/>
    </row>
    <row r="44" ht="18.75" customHeight="1">
      <c r="B44" s="124"/>
      <c r="C44" s="125" t="s">
        <v>57</v>
      </c>
      <c r="D44" s="126"/>
      <c r="E44" s="127"/>
      <c r="F44" s="128">
        <v>137.5</v>
      </c>
      <c r="G44" s="129"/>
      <c r="H44" s="130">
        <f t="shared" ref="H44:H60" si="9">H43+F44-G44</f>
        <v>220</v>
      </c>
      <c r="I44" s="131"/>
    </row>
    <row r="45" ht="21.0" customHeight="1">
      <c r="B45" s="124"/>
      <c r="C45" s="132"/>
      <c r="D45" s="126"/>
      <c r="E45" s="127"/>
      <c r="F45" s="133"/>
      <c r="G45" s="130"/>
      <c r="H45" s="130">
        <f t="shared" si="9"/>
        <v>220</v>
      </c>
      <c r="I45" s="131"/>
    </row>
    <row r="46" ht="12.75" customHeight="1">
      <c r="B46" s="124"/>
      <c r="C46" s="125"/>
      <c r="D46" s="126"/>
      <c r="E46" s="127"/>
      <c r="F46" s="134"/>
      <c r="G46" s="130"/>
      <c r="H46" s="130">
        <f t="shared" si="9"/>
        <v>220</v>
      </c>
      <c r="I46" s="131"/>
    </row>
    <row r="47" ht="12.75" customHeight="1">
      <c r="B47" s="124"/>
      <c r="C47" s="125"/>
      <c r="D47" s="126"/>
      <c r="E47" s="127"/>
      <c r="F47" s="128"/>
      <c r="G47" s="129"/>
      <c r="H47" s="130">
        <f t="shared" si="9"/>
        <v>220</v>
      </c>
      <c r="I47" s="131"/>
    </row>
    <row r="48" ht="12.75" customHeight="1">
      <c r="B48" s="124"/>
      <c r="C48" s="125"/>
      <c r="D48" s="126"/>
      <c r="E48" s="127"/>
      <c r="F48" s="128"/>
      <c r="G48" s="129"/>
      <c r="H48" s="130">
        <f t="shared" si="9"/>
        <v>220</v>
      </c>
      <c r="I48" s="131"/>
    </row>
    <row r="49" ht="12.75" customHeight="1">
      <c r="B49" s="135"/>
      <c r="C49" s="125"/>
      <c r="D49" s="126"/>
      <c r="E49" s="127"/>
      <c r="F49" s="128"/>
      <c r="G49" s="130"/>
      <c r="H49" s="130">
        <f t="shared" si="9"/>
        <v>220</v>
      </c>
      <c r="I49" s="131"/>
    </row>
    <row r="50" ht="12.75" customHeight="1">
      <c r="B50" s="124"/>
      <c r="C50" s="125"/>
      <c r="D50" s="126"/>
      <c r="E50" s="127"/>
      <c r="F50" s="128"/>
      <c r="G50" s="130"/>
      <c r="H50" s="130">
        <f t="shared" si="9"/>
        <v>220</v>
      </c>
      <c r="I50" s="131"/>
    </row>
    <row r="51" ht="12.75" customHeight="1">
      <c r="B51" s="124"/>
      <c r="C51" s="125"/>
      <c r="D51" s="126"/>
      <c r="E51" s="127"/>
      <c r="F51" s="128"/>
      <c r="G51" s="130"/>
      <c r="H51" s="130">
        <f t="shared" si="9"/>
        <v>220</v>
      </c>
      <c r="I51" s="131"/>
    </row>
    <row r="52" ht="12.75" customHeight="1">
      <c r="B52" s="136"/>
      <c r="C52" s="125"/>
      <c r="D52" s="126"/>
      <c r="E52" s="127"/>
      <c r="F52" s="137"/>
      <c r="G52" s="138"/>
      <c r="H52" s="130">
        <f t="shared" si="9"/>
        <v>220</v>
      </c>
      <c r="I52" s="139"/>
    </row>
    <row r="53" ht="12.75" customHeight="1">
      <c r="B53" s="136"/>
      <c r="C53" s="125"/>
      <c r="D53" s="126"/>
      <c r="E53" s="127"/>
      <c r="F53" s="137"/>
      <c r="G53" s="138"/>
      <c r="H53" s="130">
        <f t="shared" si="9"/>
        <v>220</v>
      </c>
      <c r="I53" s="139"/>
    </row>
    <row r="54" ht="12.75" customHeight="1">
      <c r="B54" s="136"/>
      <c r="C54" s="125"/>
      <c r="D54" s="126"/>
      <c r="E54" s="127"/>
      <c r="F54" s="137"/>
      <c r="G54" s="138"/>
      <c r="H54" s="130">
        <f t="shared" si="9"/>
        <v>220</v>
      </c>
      <c r="I54" s="139"/>
    </row>
    <row r="55" ht="12.75" customHeight="1">
      <c r="B55" s="136"/>
      <c r="C55" s="125"/>
      <c r="D55" s="126"/>
      <c r="E55" s="127"/>
      <c r="F55" s="137"/>
      <c r="G55" s="138"/>
      <c r="H55" s="130">
        <f t="shared" si="9"/>
        <v>220</v>
      </c>
      <c r="I55" s="139"/>
    </row>
    <row r="56" ht="12.75" customHeight="1">
      <c r="B56" s="136"/>
      <c r="C56" s="125"/>
      <c r="D56" s="126"/>
      <c r="E56" s="127"/>
      <c r="F56" s="137"/>
      <c r="G56" s="138"/>
      <c r="H56" s="130">
        <f t="shared" si="9"/>
        <v>220</v>
      </c>
      <c r="I56" s="139"/>
    </row>
    <row r="57" ht="12.75" customHeight="1">
      <c r="B57" s="136"/>
      <c r="C57" s="125"/>
      <c r="D57" s="126"/>
      <c r="E57" s="127"/>
      <c r="F57" s="137"/>
      <c r="G57" s="138"/>
      <c r="H57" s="130">
        <f t="shared" si="9"/>
        <v>220</v>
      </c>
      <c r="I57" s="139"/>
    </row>
    <row r="58" ht="12.75" customHeight="1">
      <c r="B58" s="136"/>
      <c r="C58" s="125"/>
      <c r="D58" s="126"/>
      <c r="E58" s="127"/>
      <c r="F58" s="137"/>
      <c r="G58" s="138"/>
      <c r="H58" s="130">
        <f t="shared" si="9"/>
        <v>220</v>
      </c>
      <c r="I58" s="139"/>
    </row>
    <row r="59" ht="12.75" customHeight="1">
      <c r="B59" s="136"/>
      <c r="C59" s="125"/>
      <c r="D59" s="126"/>
      <c r="E59" s="127"/>
      <c r="F59" s="137"/>
      <c r="G59" s="138"/>
      <c r="H59" s="130">
        <f t="shared" si="9"/>
        <v>220</v>
      </c>
      <c r="I59" s="139"/>
    </row>
    <row r="60" ht="12.75" customHeight="1">
      <c r="B60" s="142"/>
      <c r="C60" s="144"/>
      <c r="D60" s="110"/>
      <c r="E60" s="111"/>
      <c r="F60" s="145"/>
      <c r="G60" s="146"/>
      <c r="H60" s="130">
        <f t="shared" si="9"/>
        <v>220</v>
      </c>
      <c r="I60" s="147"/>
    </row>
    <row r="61" ht="18.0" customHeight="1">
      <c r="B61" s="148"/>
      <c r="C61" s="149"/>
      <c r="F61" s="150">
        <f t="shared" ref="F61:G61" si="10">SUM(F43:F60)</f>
        <v>220</v>
      </c>
      <c r="G61" s="151">
        <f t="shared" si="10"/>
        <v>0</v>
      </c>
      <c r="H61" s="152">
        <f>F61-G61</f>
        <v>220</v>
      </c>
      <c r="I61" s="154" t="s">
        <v>61</v>
      </c>
    </row>
    <row r="62" ht="18.0" customHeight="1">
      <c r="B62" s="156"/>
      <c r="D62" s="157"/>
      <c r="E62" s="157"/>
      <c r="F62" s="159" t="s">
        <v>62</v>
      </c>
      <c r="G62" s="160"/>
      <c r="H62" s="152">
        <f>H60</f>
        <v>220</v>
      </c>
    </row>
    <row r="63" ht="9.0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D2:F2"/>
    <mergeCell ref="B22:H22"/>
    <mergeCell ref="B28:H28"/>
    <mergeCell ref="J30:J36"/>
    <mergeCell ref="E37:G37"/>
    <mergeCell ref="B40:I40"/>
    <mergeCell ref="B41:I41"/>
    <mergeCell ref="C42:E42"/>
    <mergeCell ref="C43:E43"/>
    <mergeCell ref="C44:E44"/>
    <mergeCell ref="C45:E45"/>
    <mergeCell ref="C46:E46"/>
    <mergeCell ref="C47:E47"/>
    <mergeCell ref="C48:E48"/>
    <mergeCell ref="C56:E56"/>
    <mergeCell ref="C57:E57"/>
    <mergeCell ref="C58:E58"/>
    <mergeCell ref="C59:E59"/>
    <mergeCell ref="C60:E60"/>
    <mergeCell ref="I61:I62"/>
    <mergeCell ref="F62:G62"/>
    <mergeCell ref="C49:E49"/>
    <mergeCell ref="C50:E50"/>
    <mergeCell ref="C51:E51"/>
    <mergeCell ref="C52:E52"/>
    <mergeCell ref="C53:E53"/>
    <mergeCell ref="C54:E54"/>
    <mergeCell ref="C55:E55"/>
  </mergeCells>
  <printOptions/>
  <pageMargins bottom="0.75" footer="0.0" header="0.0" left="0.7" right="0.7" top="0.75"/>
  <pageSetup paperSize="9" orientation="landscape"/>
  <headerFooter>
    <oddHeader>&amp;C&amp;D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63"/>
    <col customWidth="1" min="3" max="3" width="14.75"/>
    <col customWidth="1" min="4" max="4" width="12.63"/>
    <col customWidth="1" min="5" max="6" width="10.25"/>
    <col customWidth="1" min="7" max="8" width="11.0"/>
    <col customWidth="1" min="9" max="9" width="11.38"/>
    <col customWidth="1" min="10" max="26" width="8.75"/>
  </cols>
  <sheetData>
    <row r="1" ht="12.75" customHeight="1">
      <c r="A1" s="12" t="s">
        <v>0</v>
      </c>
    </row>
    <row r="2" ht="12.75" customHeight="1">
      <c r="D2" s="4" t="s">
        <v>2</v>
      </c>
    </row>
    <row r="3" ht="13.5" customHeight="1">
      <c r="B3" s="6"/>
      <c r="C3" s="7"/>
      <c r="D3" s="7"/>
      <c r="E3" s="8"/>
      <c r="F3" s="4"/>
    </row>
    <row r="4" ht="15.0" customHeight="1">
      <c r="B4" s="10" t="s">
        <v>4</v>
      </c>
      <c r="C4" s="13" t="s">
        <v>5</v>
      </c>
      <c r="D4" s="13" t="s">
        <v>6</v>
      </c>
      <c r="E4" s="13" t="s">
        <v>7</v>
      </c>
      <c r="F4" s="15" t="s">
        <v>8</v>
      </c>
      <c r="G4" s="17" t="s">
        <v>10</v>
      </c>
      <c r="H4" s="18" t="s">
        <v>11</v>
      </c>
      <c r="I4" s="20" t="s">
        <v>13</v>
      </c>
    </row>
    <row r="5" ht="15.0" customHeight="1">
      <c r="B5" s="19" t="s">
        <v>12</v>
      </c>
      <c r="C5" s="21">
        <v>0.375</v>
      </c>
      <c r="D5" s="21">
        <v>0.5416666666666666</v>
      </c>
      <c r="E5" s="23">
        <f t="shared" ref="E5:E10" si="1">SUM(D5-C5)</f>
        <v>0.1666666667</v>
      </c>
      <c r="F5" s="24">
        <v>0.0</v>
      </c>
      <c r="G5" s="25">
        <f t="shared" ref="G5:G10" si="2">E5-F5</f>
        <v>0.1666666667</v>
      </c>
      <c r="H5" s="27">
        <f t="shared" ref="H5:H10" si="3">G5*C$26*24</f>
        <v>16.25</v>
      </c>
      <c r="I5" s="31">
        <f t="shared" ref="I5:I9" si="4">H5*4</f>
        <v>65</v>
      </c>
    </row>
    <row r="6" ht="15.0" customHeight="1">
      <c r="B6" s="19" t="s">
        <v>14</v>
      </c>
      <c r="C6" s="21">
        <v>0.375</v>
      </c>
      <c r="D6" s="21">
        <v>0.5416666666666666</v>
      </c>
      <c r="E6" s="23">
        <f t="shared" si="1"/>
        <v>0.1666666667</v>
      </c>
      <c r="F6" s="24">
        <v>0.0</v>
      </c>
      <c r="G6" s="25">
        <f t="shared" si="2"/>
        <v>0.1666666667</v>
      </c>
      <c r="H6" s="27">
        <f t="shared" si="3"/>
        <v>16.25</v>
      </c>
      <c r="I6" s="31">
        <f t="shared" si="4"/>
        <v>65</v>
      </c>
    </row>
    <row r="7" ht="15.0" customHeight="1">
      <c r="B7" s="19" t="s">
        <v>15</v>
      </c>
      <c r="C7" s="21">
        <v>0.375</v>
      </c>
      <c r="D7" s="21">
        <v>0.5416666666666666</v>
      </c>
      <c r="E7" s="23">
        <f t="shared" si="1"/>
        <v>0.1666666667</v>
      </c>
      <c r="F7" s="24">
        <v>0.0</v>
      </c>
      <c r="G7" s="25">
        <f t="shared" si="2"/>
        <v>0.1666666667</v>
      </c>
      <c r="H7" s="27">
        <f t="shared" si="3"/>
        <v>16.25</v>
      </c>
      <c r="I7" s="31">
        <f t="shared" si="4"/>
        <v>65</v>
      </c>
    </row>
    <row r="8" ht="15.0" customHeight="1">
      <c r="B8" s="19" t="s">
        <v>16</v>
      </c>
      <c r="C8" s="21">
        <v>0.375</v>
      </c>
      <c r="D8" s="21">
        <v>0.5416666666666666</v>
      </c>
      <c r="E8" s="23">
        <f t="shared" si="1"/>
        <v>0.1666666667</v>
      </c>
      <c r="F8" s="24">
        <v>0.0</v>
      </c>
      <c r="G8" s="25">
        <f t="shared" si="2"/>
        <v>0.1666666667</v>
      </c>
      <c r="H8" s="27">
        <f t="shared" si="3"/>
        <v>16.25</v>
      </c>
      <c r="I8" s="31">
        <f t="shared" si="4"/>
        <v>65</v>
      </c>
    </row>
    <row r="9" ht="15.0" customHeight="1">
      <c r="B9" s="19" t="s">
        <v>17</v>
      </c>
      <c r="C9" s="21">
        <v>0.375</v>
      </c>
      <c r="D9" s="21">
        <v>0.5416666666666666</v>
      </c>
      <c r="E9" s="23">
        <f t="shared" si="1"/>
        <v>0.1666666667</v>
      </c>
      <c r="F9" s="24">
        <v>0.0</v>
      </c>
      <c r="G9" s="25">
        <f t="shared" si="2"/>
        <v>0.1666666667</v>
      </c>
      <c r="H9" s="27">
        <f t="shared" si="3"/>
        <v>16.25</v>
      </c>
      <c r="I9" s="31">
        <f t="shared" si="4"/>
        <v>65</v>
      </c>
    </row>
    <row r="10" ht="15.75" customHeight="1">
      <c r="B10" s="26" t="s">
        <v>19</v>
      </c>
      <c r="C10" s="28">
        <v>0.375</v>
      </c>
      <c r="D10" s="28">
        <v>0.375</v>
      </c>
      <c r="E10" s="29">
        <f t="shared" si="1"/>
        <v>0</v>
      </c>
      <c r="F10" s="24"/>
      <c r="G10" s="32">
        <f t="shared" si="2"/>
        <v>0</v>
      </c>
      <c r="H10" s="27">
        <f t="shared" si="3"/>
        <v>0</v>
      </c>
      <c r="I10" s="43"/>
    </row>
    <row r="11" ht="15.75" customHeight="1">
      <c r="B11" s="33"/>
      <c r="C11" s="34"/>
      <c r="D11" s="34"/>
      <c r="E11" s="35">
        <f>SUM(E5:E10)</f>
        <v>0.8333333333</v>
      </c>
      <c r="F11" s="36"/>
      <c r="G11" s="35">
        <f>SUM(G5:G10)</f>
        <v>0.8333333333</v>
      </c>
      <c r="H11" s="47">
        <f>SUM(H5:H9)</f>
        <v>81.25</v>
      </c>
      <c r="I11" s="48">
        <f>H11*4</f>
        <v>325</v>
      </c>
    </row>
    <row r="12" ht="15.0" customHeight="1">
      <c r="B12" s="37"/>
      <c r="C12" s="38"/>
      <c r="D12" s="38"/>
      <c r="E12" s="39"/>
      <c r="F12" s="40"/>
      <c r="G12" s="42"/>
      <c r="H12" s="49"/>
    </row>
    <row r="13" ht="15.0" customHeight="1">
      <c r="B13" s="37"/>
      <c r="C13" s="38"/>
      <c r="D13" s="38"/>
      <c r="E13" s="39"/>
      <c r="F13" s="40"/>
      <c r="G13" s="42"/>
      <c r="H13" s="49"/>
    </row>
    <row r="14" ht="15.0" customHeight="1">
      <c r="B14" s="50" t="s">
        <v>20</v>
      </c>
      <c r="C14" s="38"/>
      <c r="D14" s="38"/>
      <c r="E14" s="51"/>
      <c r="F14" s="40"/>
      <c r="G14" s="42"/>
      <c r="H14" s="52"/>
    </row>
    <row r="15" ht="12.75" customHeight="1">
      <c r="B15" s="53" t="s">
        <v>21</v>
      </c>
      <c r="D15" s="6"/>
    </row>
    <row r="16" ht="12.75" customHeight="1">
      <c r="B16" s="53" t="s">
        <v>22</v>
      </c>
      <c r="D16" s="6"/>
    </row>
    <row r="17" ht="15.0" customHeight="1">
      <c r="B17" s="54"/>
      <c r="D17" s="6"/>
    </row>
    <row r="18" ht="15.0" customHeight="1">
      <c r="B18" s="54"/>
      <c r="D18" s="6"/>
    </row>
    <row r="19" ht="12.75" customHeight="1">
      <c r="C19" s="55" t="s">
        <v>23</v>
      </c>
      <c r="D19" s="55" t="s">
        <v>24</v>
      </c>
      <c r="E19" s="55" t="s">
        <v>25</v>
      </c>
      <c r="F19" s="56"/>
    </row>
    <row r="20" ht="15.75" customHeight="1">
      <c r="A20" s="57"/>
      <c r="B20" s="58"/>
      <c r="C20" s="59">
        <v>650.0</v>
      </c>
      <c r="D20" s="60">
        <v>160.0</v>
      </c>
      <c r="E20" s="60">
        <f>D20/2</f>
        <v>80</v>
      </c>
      <c r="F20" s="61">
        <f>C20/D20</f>
        <v>4.0625</v>
      </c>
      <c r="G20" s="6"/>
      <c r="H20" s="6"/>
    </row>
    <row r="21" ht="12.75" customHeight="1">
      <c r="A21" s="6"/>
      <c r="B21" s="6"/>
      <c r="C21" s="6"/>
      <c r="D21" s="6"/>
      <c r="E21" s="6"/>
      <c r="F21" s="62"/>
      <c r="G21" s="6"/>
      <c r="H21" s="6"/>
    </row>
    <row r="22" ht="12.75" customHeight="1">
      <c r="A22" s="6"/>
      <c r="B22" s="63" t="s">
        <v>26</v>
      </c>
      <c r="C22" s="64"/>
      <c r="D22" s="64"/>
      <c r="E22" s="64"/>
      <c r="F22" s="64"/>
      <c r="G22" s="64"/>
      <c r="H22" s="64"/>
      <c r="I22" s="6"/>
    </row>
    <row r="23" ht="26.25" customHeight="1">
      <c r="A23" s="65"/>
      <c r="B23" s="66" t="s">
        <v>3</v>
      </c>
      <c r="C23" s="67" t="s">
        <v>27</v>
      </c>
      <c r="D23" s="67" t="s">
        <v>28</v>
      </c>
      <c r="E23" s="68" t="s">
        <v>29</v>
      </c>
      <c r="F23" s="69" t="s">
        <v>30</v>
      </c>
      <c r="G23" s="69" t="s">
        <v>31</v>
      </c>
      <c r="H23" s="69" t="s">
        <v>32</v>
      </c>
      <c r="I23" s="69" t="s">
        <v>33</v>
      </c>
    </row>
    <row r="24" ht="13.5" customHeight="1">
      <c r="A24" s="6"/>
      <c r="B24" s="71" t="s">
        <v>40</v>
      </c>
      <c r="C24" s="72" t="s">
        <v>42</v>
      </c>
      <c r="D24" s="73" t="s">
        <v>43</v>
      </c>
      <c r="E24" s="74">
        <v>160.0</v>
      </c>
      <c r="F24" s="75">
        <v>80.0</v>
      </c>
      <c r="G24" s="76">
        <f>C20/4</f>
        <v>162.5</v>
      </c>
      <c r="H24" s="77">
        <v>40.0</v>
      </c>
      <c r="I24" s="78">
        <f>G24/H24</f>
        <v>4.0625</v>
      </c>
    </row>
    <row r="25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79" t="s">
        <v>37</v>
      </c>
      <c r="C26" s="80">
        <f>F20</f>
        <v>4.0625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/>
      <c r="B28" s="81" t="s">
        <v>38</v>
      </c>
      <c r="C28" s="82"/>
      <c r="D28" s="82"/>
      <c r="E28" s="82"/>
      <c r="F28" s="82"/>
      <c r="G28" s="82"/>
      <c r="H28" s="8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6"/>
      <c r="B29" s="84" t="s">
        <v>4</v>
      </c>
      <c r="C29" s="85" t="s">
        <v>5</v>
      </c>
      <c r="D29" s="85" t="s">
        <v>6</v>
      </c>
      <c r="E29" s="85" t="s">
        <v>7</v>
      </c>
      <c r="F29" s="86" t="s">
        <v>8</v>
      </c>
      <c r="G29" s="87" t="s">
        <v>10</v>
      </c>
      <c r="H29" s="88" t="s">
        <v>41</v>
      </c>
      <c r="I29" s="8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6"/>
      <c r="B30" s="90" t="s">
        <v>12</v>
      </c>
      <c r="C30" s="21">
        <v>0.375</v>
      </c>
      <c r="D30" s="21">
        <v>0.5416666666666666</v>
      </c>
      <c r="E30" s="23">
        <f t="shared" ref="E30:E35" si="5">SUM(D30-C30)</f>
        <v>0.1666666667</v>
      </c>
      <c r="F30" s="24">
        <v>0.0</v>
      </c>
      <c r="G30" s="92">
        <f t="shared" ref="G30:G35" si="6">E30-F30</f>
        <v>0.1666666667</v>
      </c>
      <c r="H30" s="27">
        <f t="shared" ref="H30:H35" si="7">SUM(G30*$C$26)*24</f>
        <v>16.25</v>
      </c>
      <c r="I30" s="93"/>
      <c r="J30" s="9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6"/>
      <c r="B31" s="90" t="s">
        <v>14</v>
      </c>
      <c r="C31" s="21">
        <v>0.375</v>
      </c>
      <c r="D31" s="21">
        <v>0.5416666666666666</v>
      </c>
      <c r="E31" s="23">
        <f t="shared" si="5"/>
        <v>0.1666666667</v>
      </c>
      <c r="F31" s="24">
        <v>0.0</v>
      </c>
      <c r="G31" s="92">
        <f t="shared" si="6"/>
        <v>0.1666666667</v>
      </c>
      <c r="H31" s="27">
        <f t="shared" si="7"/>
        <v>16.25</v>
      </c>
      <c r="I31" s="93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6"/>
      <c r="B32" s="90" t="s">
        <v>15</v>
      </c>
      <c r="C32" s="21">
        <v>0.375</v>
      </c>
      <c r="D32" s="21">
        <v>0.5416666666666666</v>
      </c>
      <c r="E32" s="23">
        <f t="shared" si="5"/>
        <v>0.1666666667</v>
      </c>
      <c r="F32" s="24">
        <v>0.0</v>
      </c>
      <c r="G32" s="92">
        <f t="shared" si="6"/>
        <v>0.1666666667</v>
      </c>
      <c r="H32" s="27">
        <f t="shared" si="7"/>
        <v>16.25</v>
      </c>
      <c r="I32" s="93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6"/>
      <c r="B33" s="90" t="s">
        <v>16</v>
      </c>
      <c r="C33" s="21">
        <v>0.375</v>
      </c>
      <c r="D33" s="21">
        <v>0.5416666666666666</v>
      </c>
      <c r="E33" s="23">
        <f t="shared" si="5"/>
        <v>0.1666666667</v>
      </c>
      <c r="F33" s="24">
        <v>0.0</v>
      </c>
      <c r="G33" s="92">
        <f t="shared" si="6"/>
        <v>0.1666666667</v>
      </c>
      <c r="H33" s="27">
        <f t="shared" si="7"/>
        <v>16.25</v>
      </c>
      <c r="I33" s="93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6"/>
      <c r="B34" s="90" t="s">
        <v>17</v>
      </c>
      <c r="C34" s="21">
        <v>0.375</v>
      </c>
      <c r="D34" s="21">
        <v>0.5416666666666666</v>
      </c>
      <c r="E34" s="23">
        <f t="shared" si="5"/>
        <v>0.1666666667</v>
      </c>
      <c r="F34" s="24">
        <v>0.0</v>
      </c>
      <c r="G34" s="92">
        <f t="shared" si="6"/>
        <v>0.1666666667</v>
      </c>
      <c r="H34" s="27">
        <f t="shared" si="7"/>
        <v>16.25</v>
      </c>
      <c r="I34" s="9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26" t="s">
        <v>19</v>
      </c>
      <c r="C35" s="21">
        <v>0.375</v>
      </c>
      <c r="D35" s="28">
        <v>0.375</v>
      </c>
      <c r="E35" s="29">
        <f t="shared" si="5"/>
        <v>0</v>
      </c>
      <c r="F35" s="24">
        <v>0.0</v>
      </c>
      <c r="G35" s="32">
        <f t="shared" si="6"/>
        <v>0</v>
      </c>
      <c r="H35" s="27">
        <f t="shared" si="7"/>
        <v>0</v>
      </c>
      <c r="I35" s="9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96"/>
      <c r="C36" s="34"/>
      <c r="D36" s="34"/>
      <c r="E36" s="35">
        <f>SUM(E30:E35)</f>
        <v>0.8333333333</v>
      </c>
      <c r="F36" s="36"/>
      <c r="G36" s="35">
        <f t="shared" ref="G36:H36" si="8">SUM(G30:G35)</f>
        <v>0.8333333333</v>
      </c>
      <c r="H36" s="97">
        <f t="shared" si="8"/>
        <v>81.25</v>
      </c>
      <c r="I36" s="95"/>
      <c r="K36" s="6"/>
      <c r="L36" s="6"/>
      <c r="M36" s="6"/>
      <c r="N36" s="128">
        <v>101.56</v>
      </c>
      <c r="O36" s="6">
        <f>N36*4</f>
        <v>406.24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98"/>
      <c r="C37" s="99"/>
      <c r="D37" s="100"/>
      <c r="E37" s="101" t="s">
        <v>44</v>
      </c>
      <c r="F37" s="102"/>
      <c r="G37" s="102"/>
      <c r="H37" s="10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6"/>
      <c r="B38" s="98"/>
      <c r="C38" s="99"/>
      <c r="D38" s="100"/>
      <c r="E38" s="104"/>
      <c r="F38" s="100"/>
      <c r="G38" s="104"/>
      <c r="H38" s="52"/>
      <c r="I38" s="6"/>
      <c r="J38" s="6"/>
      <c r="K38" s="6"/>
      <c r="L38" s="6"/>
      <c r="M38" s="6"/>
      <c r="N38" s="6">
        <v>81.25</v>
      </c>
      <c r="O38" s="6">
        <f>N38*4</f>
        <v>325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/>
    <row r="40" ht="12.75" customHeight="1">
      <c r="B40" s="105" t="s">
        <v>45</v>
      </c>
      <c r="C40" s="106"/>
      <c r="D40" s="106"/>
      <c r="E40" s="106"/>
      <c r="F40" s="106"/>
      <c r="G40" s="106"/>
      <c r="H40" s="106"/>
      <c r="I40" s="107"/>
    </row>
    <row r="41" ht="12.75" customHeight="1">
      <c r="B41" s="109" t="s">
        <v>58</v>
      </c>
      <c r="C41" s="110"/>
      <c r="D41" s="110"/>
      <c r="E41" s="110"/>
      <c r="F41" s="110"/>
      <c r="G41" s="110"/>
      <c r="H41" s="110"/>
      <c r="I41" s="111"/>
    </row>
    <row r="42" ht="12.75" customHeight="1">
      <c r="B42" s="113" t="s">
        <v>47</v>
      </c>
      <c r="C42" s="114" t="s">
        <v>48</v>
      </c>
      <c r="D42" s="82"/>
      <c r="E42" s="83"/>
      <c r="F42" s="115" t="s">
        <v>49</v>
      </c>
      <c r="G42" s="116" t="s">
        <v>50</v>
      </c>
      <c r="H42" s="117" t="s">
        <v>51</v>
      </c>
      <c r="I42" s="118" t="s">
        <v>52</v>
      </c>
    </row>
    <row r="43" ht="17.25" customHeight="1">
      <c r="B43" s="119">
        <v>45436.0</v>
      </c>
      <c r="C43" s="120" t="s">
        <v>59</v>
      </c>
      <c r="D43" s="106"/>
      <c r="E43" s="107"/>
      <c r="F43" s="121">
        <v>20.31</v>
      </c>
      <c r="G43" s="122">
        <v>4.06</v>
      </c>
      <c r="H43" s="122">
        <f>F43</f>
        <v>20.31</v>
      </c>
      <c r="I43" s="123"/>
    </row>
    <row r="44" ht="18.75" customHeight="1">
      <c r="B44" s="124">
        <v>45436.0</v>
      </c>
      <c r="C44" s="125" t="s">
        <v>60</v>
      </c>
      <c r="D44" s="126"/>
      <c r="E44" s="127"/>
      <c r="F44" s="128">
        <v>101.56</v>
      </c>
      <c r="G44" s="129"/>
      <c r="H44" s="130">
        <f t="shared" ref="H44:H60" si="9">H43+F44-G44</f>
        <v>121.87</v>
      </c>
      <c r="I44" s="131"/>
    </row>
    <row r="45" ht="21.0" customHeight="1">
      <c r="B45" s="158">
        <v>45438.0</v>
      </c>
      <c r="C45" s="161" t="s">
        <v>63</v>
      </c>
      <c r="D45" s="126"/>
      <c r="E45" s="162"/>
      <c r="F45" s="133"/>
      <c r="G45" s="130">
        <v>121.87</v>
      </c>
      <c r="H45" s="130">
        <f t="shared" si="9"/>
        <v>0</v>
      </c>
      <c r="I45" s="131"/>
    </row>
    <row r="46" ht="12.75" customHeight="1">
      <c r="B46" s="158">
        <v>45443.0</v>
      </c>
      <c r="C46" s="161" t="s">
        <v>64</v>
      </c>
      <c r="D46" s="126"/>
      <c r="E46" s="162"/>
      <c r="F46" s="134">
        <v>81.25</v>
      </c>
      <c r="G46" s="130"/>
      <c r="H46" s="130">
        <f t="shared" si="9"/>
        <v>81.25</v>
      </c>
      <c r="I46" s="131"/>
    </row>
    <row r="47" ht="12.75" customHeight="1">
      <c r="B47" s="158">
        <v>45445.0</v>
      </c>
      <c r="C47" s="125" t="s">
        <v>63</v>
      </c>
      <c r="D47" s="126"/>
      <c r="E47" s="127"/>
      <c r="F47" s="128"/>
      <c r="G47" s="121">
        <v>81.25</v>
      </c>
      <c r="H47" s="130">
        <f t="shared" si="9"/>
        <v>0</v>
      </c>
      <c r="I47" s="131"/>
    </row>
    <row r="48" ht="12.75" customHeight="1">
      <c r="B48" s="158">
        <v>45450.0</v>
      </c>
      <c r="C48" s="161" t="s">
        <v>65</v>
      </c>
      <c r="D48" s="126"/>
      <c r="E48" s="162"/>
      <c r="F48" s="128">
        <v>81.25</v>
      </c>
      <c r="G48" s="129"/>
      <c r="H48" s="130">
        <f t="shared" si="9"/>
        <v>81.25</v>
      </c>
      <c r="I48" s="131"/>
    </row>
    <row r="49" ht="12.75" customHeight="1">
      <c r="B49" s="158"/>
      <c r="F49" s="128"/>
      <c r="G49" s="130"/>
      <c r="H49" s="130">
        <f t="shared" si="9"/>
        <v>81.25</v>
      </c>
      <c r="I49" s="131"/>
    </row>
    <row r="50" ht="12.75" customHeight="1">
      <c r="B50" s="124"/>
      <c r="C50" s="125"/>
      <c r="D50" s="126"/>
      <c r="E50" s="127"/>
      <c r="F50" s="128"/>
      <c r="G50" s="130"/>
      <c r="H50" s="130">
        <f t="shared" si="9"/>
        <v>81.25</v>
      </c>
      <c r="I50" s="131"/>
    </row>
    <row r="51" ht="12.75" customHeight="1">
      <c r="B51" s="124"/>
      <c r="C51" s="125"/>
      <c r="D51" s="126"/>
      <c r="E51" s="127"/>
      <c r="F51" s="128"/>
      <c r="G51" s="130"/>
      <c r="H51" s="130">
        <f t="shared" si="9"/>
        <v>81.25</v>
      </c>
      <c r="I51" s="131"/>
    </row>
    <row r="52" ht="12.75" customHeight="1">
      <c r="B52" s="136"/>
      <c r="C52" s="125"/>
      <c r="D52" s="126"/>
      <c r="E52" s="127"/>
      <c r="F52" s="137"/>
      <c r="G52" s="138"/>
      <c r="H52" s="130">
        <f t="shared" si="9"/>
        <v>81.25</v>
      </c>
      <c r="I52" s="139"/>
    </row>
    <row r="53" ht="12.75" customHeight="1">
      <c r="B53" s="136"/>
      <c r="C53" s="125"/>
      <c r="D53" s="126"/>
      <c r="E53" s="127"/>
      <c r="F53" s="137"/>
      <c r="G53" s="138"/>
      <c r="H53" s="130">
        <f t="shared" si="9"/>
        <v>81.25</v>
      </c>
      <c r="I53" s="139"/>
    </row>
    <row r="54" ht="12.75" customHeight="1">
      <c r="B54" s="136"/>
      <c r="C54" s="125"/>
      <c r="D54" s="126"/>
      <c r="E54" s="127"/>
      <c r="F54" s="137"/>
      <c r="G54" s="138"/>
      <c r="H54" s="130">
        <f t="shared" si="9"/>
        <v>81.25</v>
      </c>
      <c r="I54" s="139"/>
    </row>
    <row r="55" ht="12.75" customHeight="1">
      <c r="B55" s="136"/>
      <c r="C55" s="125"/>
      <c r="D55" s="126"/>
      <c r="E55" s="127"/>
      <c r="F55" s="137"/>
      <c r="G55" s="138"/>
      <c r="H55" s="130">
        <f t="shared" si="9"/>
        <v>81.25</v>
      </c>
      <c r="I55" s="139"/>
    </row>
    <row r="56" ht="12.75" customHeight="1">
      <c r="B56" s="136"/>
      <c r="C56" s="125"/>
      <c r="D56" s="126"/>
      <c r="E56" s="127"/>
      <c r="F56" s="137"/>
      <c r="G56" s="138"/>
      <c r="H56" s="130">
        <f t="shared" si="9"/>
        <v>81.25</v>
      </c>
      <c r="I56" s="139"/>
    </row>
    <row r="57" ht="12.75" customHeight="1">
      <c r="B57" s="136"/>
      <c r="C57" s="125"/>
      <c r="D57" s="126"/>
      <c r="E57" s="127"/>
      <c r="F57" s="137"/>
      <c r="G57" s="138"/>
      <c r="H57" s="130">
        <f t="shared" si="9"/>
        <v>81.25</v>
      </c>
      <c r="I57" s="139"/>
    </row>
    <row r="58" ht="12.75" customHeight="1">
      <c r="B58" s="136"/>
      <c r="C58" s="125"/>
      <c r="D58" s="126"/>
      <c r="E58" s="127"/>
      <c r="F58" s="137"/>
      <c r="G58" s="138"/>
      <c r="H58" s="130">
        <f t="shared" si="9"/>
        <v>81.25</v>
      </c>
      <c r="I58" s="139"/>
    </row>
    <row r="59" ht="12.75" customHeight="1">
      <c r="B59" s="136"/>
      <c r="C59" s="125"/>
      <c r="D59" s="126"/>
      <c r="E59" s="127"/>
      <c r="F59" s="137"/>
      <c r="G59" s="138"/>
      <c r="H59" s="130">
        <f t="shared" si="9"/>
        <v>81.25</v>
      </c>
      <c r="I59" s="139"/>
    </row>
    <row r="60" ht="12.75" customHeight="1">
      <c r="B60" s="142"/>
      <c r="C60" s="144"/>
      <c r="D60" s="110"/>
      <c r="E60" s="111"/>
      <c r="F60" s="145"/>
      <c r="G60" s="146"/>
      <c r="H60" s="130">
        <f t="shared" si="9"/>
        <v>81.25</v>
      </c>
      <c r="I60" s="147"/>
    </row>
    <row r="61" ht="18.0" customHeight="1">
      <c r="B61" s="148"/>
      <c r="C61" s="149"/>
      <c r="F61" s="150">
        <f t="shared" ref="F61:G61" si="10">SUM(F43:F60)</f>
        <v>284.37</v>
      </c>
      <c r="G61" s="151">
        <f t="shared" si="10"/>
        <v>207.18</v>
      </c>
      <c r="H61" s="152">
        <f t="shared" ref="H61:H62" si="11">H59</f>
        <v>81.25</v>
      </c>
      <c r="I61" s="154" t="s">
        <v>61</v>
      </c>
    </row>
    <row r="62" ht="18.0" customHeight="1">
      <c r="B62" s="156"/>
      <c r="D62" s="157"/>
      <c r="E62" s="157"/>
      <c r="F62" s="159" t="s">
        <v>62</v>
      </c>
      <c r="G62" s="160"/>
      <c r="H62" s="152">
        <f t="shared" si="11"/>
        <v>81.25</v>
      </c>
    </row>
    <row r="63" ht="9.0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D2:F2"/>
    <mergeCell ref="B22:H22"/>
    <mergeCell ref="B28:H28"/>
    <mergeCell ref="J30:J36"/>
    <mergeCell ref="E37:G37"/>
    <mergeCell ref="B40:I40"/>
    <mergeCell ref="B41:I41"/>
    <mergeCell ref="C42:E42"/>
    <mergeCell ref="C43:E43"/>
    <mergeCell ref="C44:E44"/>
    <mergeCell ref="C45:E45"/>
    <mergeCell ref="C46:E46"/>
    <mergeCell ref="C47:E47"/>
    <mergeCell ref="C48:E48"/>
    <mergeCell ref="C57:E57"/>
    <mergeCell ref="C58:E58"/>
    <mergeCell ref="C59:E59"/>
    <mergeCell ref="C60:E60"/>
    <mergeCell ref="I61:I62"/>
    <mergeCell ref="F62:G62"/>
    <mergeCell ref="C50:E50"/>
    <mergeCell ref="C51:E51"/>
    <mergeCell ref="C52:E52"/>
    <mergeCell ref="C53:E53"/>
    <mergeCell ref="C54:E54"/>
    <mergeCell ref="C55:E55"/>
    <mergeCell ref="C56:E56"/>
  </mergeCells>
  <printOptions/>
  <pageMargins bottom="0.75" footer="0.0" header="0.0" left="0.7" right="0.7" top="0.75"/>
  <pageSetup paperSize="9" orientation="landscape"/>
  <headerFooter>
    <oddHeader>&amp;C&amp;D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63"/>
    <col customWidth="1" min="3" max="3" width="14.75"/>
    <col customWidth="1" min="4" max="4" width="12.63"/>
    <col customWidth="1" min="5" max="6" width="10.25"/>
    <col customWidth="1" min="7" max="8" width="11.0"/>
    <col customWidth="1" min="9" max="9" width="11.38"/>
    <col customWidth="1" min="10" max="12" width="8.75"/>
    <col customWidth="1" min="13" max="13" width="13.88"/>
    <col customWidth="1" min="14" max="14" width="15.63"/>
    <col customWidth="1" min="15" max="16" width="8.75"/>
    <col customWidth="1" min="17" max="17" width="11.63"/>
    <col customWidth="1" min="18" max="18" width="12.0"/>
    <col customWidth="1" min="19" max="26" width="8.75"/>
  </cols>
  <sheetData>
    <row r="1" ht="12.75" customHeight="1">
      <c r="A1" s="12" t="s">
        <v>0</v>
      </c>
    </row>
    <row r="2" ht="12.75" customHeight="1">
      <c r="D2" s="4" t="s">
        <v>2</v>
      </c>
      <c r="N2" s="4" t="s">
        <v>9</v>
      </c>
    </row>
    <row r="3" ht="13.5" customHeight="1">
      <c r="B3" s="6"/>
      <c r="C3" s="7"/>
      <c r="D3" s="7"/>
      <c r="E3" s="8"/>
      <c r="F3" s="4"/>
      <c r="L3" s="6"/>
      <c r="M3" s="7"/>
      <c r="N3" s="7"/>
      <c r="O3" s="8"/>
      <c r="P3" s="4"/>
    </row>
    <row r="4" ht="15.0" customHeight="1">
      <c r="B4" s="10" t="s">
        <v>4</v>
      </c>
      <c r="C4" s="13" t="s">
        <v>5</v>
      </c>
      <c r="D4" s="13" t="s">
        <v>6</v>
      </c>
      <c r="E4" s="13" t="s">
        <v>7</v>
      </c>
      <c r="F4" s="15" t="s">
        <v>8</v>
      </c>
      <c r="G4" s="17" t="s">
        <v>10</v>
      </c>
      <c r="H4" s="18" t="s">
        <v>11</v>
      </c>
      <c r="I4" s="20" t="s">
        <v>13</v>
      </c>
      <c r="L4" s="10" t="s">
        <v>4</v>
      </c>
      <c r="M4" s="13" t="s">
        <v>5</v>
      </c>
      <c r="N4" s="13" t="s">
        <v>6</v>
      </c>
      <c r="O4" s="13" t="s">
        <v>7</v>
      </c>
      <c r="P4" s="15" t="s">
        <v>8</v>
      </c>
      <c r="Q4" s="22" t="s">
        <v>10</v>
      </c>
      <c r="R4" s="18" t="s">
        <v>11</v>
      </c>
      <c r="S4" s="20"/>
    </row>
    <row r="5" ht="15.0" customHeight="1">
      <c r="B5" s="19" t="s">
        <v>12</v>
      </c>
      <c r="C5" s="21">
        <v>0.6666666666666666</v>
      </c>
      <c r="D5" s="21">
        <v>0.75</v>
      </c>
      <c r="E5" s="23">
        <f t="shared" ref="E5:E10" si="1">SUM(D5-C5)</f>
        <v>0.08333333333</v>
      </c>
      <c r="F5" s="24">
        <v>0.0</v>
      </c>
      <c r="G5" s="25">
        <f t="shared" ref="G5:G10" si="2">E5-F5</f>
        <v>0.08333333333</v>
      </c>
      <c r="H5" s="27">
        <f t="shared" ref="H5:H10" si="3">G5*C$26*24</f>
        <v>14.58333333</v>
      </c>
      <c r="I5" s="31">
        <f t="shared" ref="I5:I11" si="4">H5*4</f>
        <v>58.33333333</v>
      </c>
      <c r="L5" s="19" t="s">
        <v>12</v>
      </c>
      <c r="M5" s="21">
        <v>0.6666666666666666</v>
      </c>
      <c r="N5" s="21">
        <v>0.6666666666666666</v>
      </c>
      <c r="O5" s="23">
        <f t="shared" ref="O5:O19" si="5">SUM(N5-M5)</f>
        <v>0</v>
      </c>
      <c r="P5" s="44">
        <v>0.0</v>
      </c>
      <c r="Q5" s="45">
        <f t="shared" ref="Q5:Q19" si="6">O5-P5</f>
        <v>0</v>
      </c>
      <c r="R5" s="46">
        <f t="shared" ref="R5:R19" si="7">Q5*C$26*24</f>
        <v>0</v>
      </c>
      <c r="S5" s="31"/>
    </row>
    <row r="6" ht="15.0" customHeight="1">
      <c r="B6" s="19" t="s">
        <v>14</v>
      </c>
      <c r="C6" s="21">
        <v>0.6666666666666666</v>
      </c>
      <c r="D6" s="21">
        <f t="shared" ref="D6:D9" si="8">D5</f>
        <v>0.75</v>
      </c>
      <c r="E6" s="23">
        <f t="shared" si="1"/>
        <v>0.08333333333</v>
      </c>
      <c r="F6" s="24">
        <v>0.0</v>
      </c>
      <c r="G6" s="25">
        <f t="shared" si="2"/>
        <v>0.08333333333</v>
      </c>
      <c r="H6" s="27">
        <f t="shared" si="3"/>
        <v>14.58333333</v>
      </c>
      <c r="I6" s="31">
        <f t="shared" si="4"/>
        <v>58.33333333</v>
      </c>
      <c r="L6" s="19" t="s">
        <v>14</v>
      </c>
      <c r="M6" s="21">
        <v>0.6666666666666666</v>
      </c>
      <c r="N6" s="21">
        <v>0.75</v>
      </c>
      <c r="O6" s="23">
        <f t="shared" si="5"/>
        <v>0.08333333333</v>
      </c>
      <c r="P6" s="44">
        <v>0.0</v>
      </c>
      <c r="Q6" s="45">
        <f t="shared" si="6"/>
        <v>0.08333333333</v>
      </c>
      <c r="R6" s="46">
        <f t="shared" si="7"/>
        <v>14.58333333</v>
      </c>
      <c r="S6" s="31"/>
    </row>
    <row r="7" ht="15.0" customHeight="1">
      <c r="B7" s="19" t="s">
        <v>15</v>
      </c>
      <c r="C7" s="21">
        <v>0.6666666666666666</v>
      </c>
      <c r="D7" s="21">
        <f t="shared" si="8"/>
        <v>0.75</v>
      </c>
      <c r="E7" s="23">
        <f t="shared" si="1"/>
        <v>0.08333333333</v>
      </c>
      <c r="F7" s="24">
        <v>0.0</v>
      </c>
      <c r="G7" s="25">
        <f t="shared" si="2"/>
        <v>0.08333333333</v>
      </c>
      <c r="H7" s="27">
        <f t="shared" si="3"/>
        <v>14.58333333</v>
      </c>
      <c r="I7" s="31">
        <f t="shared" si="4"/>
        <v>58.33333333</v>
      </c>
      <c r="L7" s="19" t="s">
        <v>15</v>
      </c>
      <c r="M7" s="21">
        <v>0.6666666666666666</v>
      </c>
      <c r="N7" s="21">
        <v>0.75</v>
      </c>
      <c r="O7" s="23">
        <f t="shared" si="5"/>
        <v>0.08333333333</v>
      </c>
      <c r="P7" s="44">
        <v>0.0</v>
      </c>
      <c r="Q7" s="45">
        <f t="shared" si="6"/>
        <v>0.08333333333</v>
      </c>
      <c r="R7" s="46">
        <f t="shared" si="7"/>
        <v>14.58333333</v>
      </c>
      <c r="S7" s="31"/>
    </row>
    <row r="8" ht="15.0" customHeight="1">
      <c r="B8" s="19" t="s">
        <v>16</v>
      </c>
      <c r="C8" s="21">
        <v>0.6666666666666666</v>
      </c>
      <c r="D8" s="21">
        <f t="shared" si="8"/>
        <v>0.75</v>
      </c>
      <c r="E8" s="23">
        <f t="shared" si="1"/>
        <v>0.08333333333</v>
      </c>
      <c r="F8" s="24">
        <v>0.0</v>
      </c>
      <c r="G8" s="25">
        <f t="shared" si="2"/>
        <v>0.08333333333</v>
      </c>
      <c r="H8" s="27">
        <f t="shared" si="3"/>
        <v>14.58333333</v>
      </c>
      <c r="I8" s="31">
        <f t="shared" si="4"/>
        <v>58.33333333</v>
      </c>
      <c r="L8" s="19" t="s">
        <v>16</v>
      </c>
      <c r="M8" s="21">
        <v>0.6666666666666666</v>
      </c>
      <c r="N8" s="21">
        <v>0.75</v>
      </c>
      <c r="O8" s="23">
        <f t="shared" si="5"/>
        <v>0.08333333333</v>
      </c>
      <c r="P8" s="44">
        <v>0.0</v>
      </c>
      <c r="Q8" s="45">
        <f t="shared" si="6"/>
        <v>0.08333333333</v>
      </c>
      <c r="R8" s="46">
        <f t="shared" si="7"/>
        <v>14.58333333</v>
      </c>
      <c r="S8" s="31"/>
    </row>
    <row r="9" ht="15.0" customHeight="1">
      <c r="B9" s="19" t="s">
        <v>17</v>
      </c>
      <c r="C9" s="21">
        <v>0.6666666666666666</v>
      </c>
      <c r="D9" s="21">
        <f t="shared" si="8"/>
        <v>0.75</v>
      </c>
      <c r="E9" s="23">
        <f t="shared" si="1"/>
        <v>0.08333333333</v>
      </c>
      <c r="F9" s="24">
        <v>0.0</v>
      </c>
      <c r="G9" s="25">
        <f t="shared" si="2"/>
        <v>0.08333333333</v>
      </c>
      <c r="H9" s="27">
        <f t="shared" si="3"/>
        <v>14.58333333</v>
      </c>
      <c r="I9" s="31">
        <f t="shared" si="4"/>
        <v>58.33333333</v>
      </c>
      <c r="L9" s="19" t="s">
        <v>17</v>
      </c>
      <c r="M9" s="21">
        <v>0.6666666666666666</v>
      </c>
      <c r="N9" s="21">
        <v>0.75</v>
      </c>
      <c r="O9" s="23">
        <f t="shared" si="5"/>
        <v>0.08333333333</v>
      </c>
      <c r="P9" s="44">
        <v>0.0</v>
      </c>
      <c r="Q9" s="45">
        <f t="shared" si="6"/>
        <v>0.08333333333</v>
      </c>
      <c r="R9" s="46">
        <f t="shared" si="7"/>
        <v>14.58333333</v>
      </c>
      <c r="S9" s="31"/>
    </row>
    <row r="10" ht="15.75" customHeight="1">
      <c r="B10" s="26" t="s">
        <v>19</v>
      </c>
      <c r="C10" s="70">
        <v>0.5416666666666666</v>
      </c>
      <c r="D10" s="70">
        <v>0.625</v>
      </c>
      <c r="E10" s="23">
        <f t="shared" si="1"/>
        <v>0.08333333333</v>
      </c>
      <c r="F10" s="24">
        <v>0.0</v>
      </c>
      <c r="G10" s="32">
        <f t="shared" si="2"/>
        <v>0.08333333333</v>
      </c>
      <c r="H10" s="27">
        <f t="shared" si="3"/>
        <v>14.58333333</v>
      </c>
      <c r="I10" s="31">
        <f t="shared" si="4"/>
        <v>58.33333333</v>
      </c>
      <c r="L10" s="26" t="s">
        <v>19</v>
      </c>
      <c r="M10" s="21">
        <v>0.6666666666666666</v>
      </c>
      <c r="N10" s="21">
        <v>0.75</v>
      </c>
      <c r="O10" s="29">
        <f t="shared" si="5"/>
        <v>0.08333333333</v>
      </c>
      <c r="P10" s="44">
        <v>0.0</v>
      </c>
      <c r="Q10" s="45">
        <f t="shared" si="6"/>
        <v>0.08333333333</v>
      </c>
      <c r="R10" s="46">
        <f t="shared" si="7"/>
        <v>14.58333333</v>
      </c>
      <c r="S10" s="31"/>
    </row>
    <row r="11" ht="15.75" customHeight="1">
      <c r="B11" s="33"/>
      <c r="C11" s="34"/>
      <c r="D11" s="34"/>
      <c r="E11" s="35">
        <f>SUM(E5:E10)</f>
        <v>0.5</v>
      </c>
      <c r="F11" s="36"/>
      <c r="G11" s="35">
        <f t="shared" ref="G11:H11" si="9">SUM(G5:G10)</f>
        <v>0.5</v>
      </c>
      <c r="H11" s="47">
        <f t="shared" si="9"/>
        <v>87.5</v>
      </c>
      <c r="I11" s="48">
        <f t="shared" si="4"/>
        <v>350</v>
      </c>
      <c r="L11" s="12" t="s">
        <v>39</v>
      </c>
      <c r="M11" s="21">
        <v>0.6458333333333334</v>
      </c>
      <c r="N11" s="21">
        <v>0.75</v>
      </c>
      <c r="O11" s="23">
        <f t="shared" si="5"/>
        <v>0.1041666667</v>
      </c>
      <c r="P11" s="44">
        <v>0.0</v>
      </c>
      <c r="Q11" s="45">
        <f t="shared" si="6"/>
        <v>0.1041666667</v>
      </c>
      <c r="R11" s="46">
        <f t="shared" si="7"/>
        <v>18.22916667</v>
      </c>
      <c r="S11" s="31"/>
    </row>
    <row r="12" ht="15.0" customHeight="1">
      <c r="B12" s="37"/>
      <c r="C12" s="38"/>
      <c r="D12" s="38"/>
      <c r="E12" s="39"/>
      <c r="F12" s="40"/>
      <c r="G12" s="42"/>
      <c r="H12" s="49"/>
      <c r="L12" s="19" t="s">
        <v>12</v>
      </c>
      <c r="M12" s="21">
        <v>0.6666666666666666</v>
      </c>
      <c r="N12" s="21">
        <v>0.75</v>
      </c>
      <c r="O12" s="23">
        <f t="shared" si="5"/>
        <v>0.08333333333</v>
      </c>
      <c r="P12" s="44">
        <v>0.0</v>
      </c>
      <c r="Q12" s="45">
        <f t="shared" si="6"/>
        <v>0.08333333333</v>
      </c>
      <c r="R12" s="46">
        <f t="shared" si="7"/>
        <v>14.58333333</v>
      </c>
      <c r="S12" s="31"/>
    </row>
    <row r="13" ht="15.0" customHeight="1">
      <c r="B13" s="37"/>
      <c r="C13" s="38"/>
      <c r="D13" s="38"/>
      <c r="E13" s="39"/>
      <c r="F13" s="40"/>
      <c r="G13" s="42"/>
      <c r="H13" s="49"/>
      <c r="L13" s="19" t="s">
        <v>14</v>
      </c>
      <c r="M13" s="21">
        <v>0.6458333333333334</v>
      </c>
      <c r="N13" s="21">
        <v>0.75</v>
      </c>
      <c r="O13" s="29">
        <f t="shared" si="5"/>
        <v>0.1041666667</v>
      </c>
      <c r="P13" s="44">
        <v>0.0</v>
      </c>
      <c r="Q13" s="45">
        <f t="shared" si="6"/>
        <v>0.1041666667</v>
      </c>
      <c r="R13" s="46">
        <f t="shared" si="7"/>
        <v>18.22916667</v>
      </c>
      <c r="S13" s="31"/>
    </row>
    <row r="14" ht="15.0" customHeight="1">
      <c r="B14" s="50" t="s">
        <v>20</v>
      </c>
      <c r="C14" s="38"/>
      <c r="D14" s="38"/>
      <c r="E14" s="51"/>
      <c r="F14" s="40"/>
      <c r="G14" s="42"/>
      <c r="H14" s="52"/>
      <c r="L14" s="19" t="s">
        <v>15</v>
      </c>
      <c r="M14" s="21">
        <v>0.6666666666666666</v>
      </c>
      <c r="N14" s="21">
        <v>0.75</v>
      </c>
      <c r="O14" s="23">
        <f t="shared" si="5"/>
        <v>0.08333333333</v>
      </c>
      <c r="P14" s="44">
        <v>0.0</v>
      </c>
      <c r="Q14" s="45">
        <f t="shared" si="6"/>
        <v>0.08333333333</v>
      </c>
      <c r="R14" s="46">
        <f t="shared" si="7"/>
        <v>14.58333333</v>
      </c>
      <c r="S14" s="31"/>
    </row>
    <row r="15" ht="12.75" customHeight="1">
      <c r="B15" s="53" t="s">
        <v>21</v>
      </c>
      <c r="D15" s="6"/>
      <c r="L15" s="19" t="s">
        <v>16</v>
      </c>
      <c r="M15" s="21">
        <v>0.6666666666666666</v>
      </c>
      <c r="N15" s="21">
        <v>0.75</v>
      </c>
      <c r="O15" s="23">
        <f t="shared" si="5"/>
        <v>0.08333333333</v>
      </c>
      <c r="P15" s="44">
        <v>0.0</v>
      </c>
      <c r="Q15" s="45">
        <f t="shared" si="6"/>
        <v>0.08333333333</v>
      </c>
      <c r="R15" s="46">
        <f t="shared" si="7"/>
        <v>14.58333333</v>
      </c>
      <c r="S15" s="31"/>
    </row>
    <row r="16" ht="12.75" customHeight="1">
      <c r="B16" s="53" t="s">
        <v>22</v>
      </c>
      <c r="D16" s="6"/>
      <c r="L16" s="19" t="s">
        <v>17</v>
      </c>
      <c r="M16" s="21">
        <v>0.6666666666666666</v>
      </c>
      <c r="N16" s="21">
        <v>0.75</v>
      </c>
      <c r="O16" s="23">
        <f t="shared" si="5"/>
        <v>0.08333333333</v>
      </c>
      <c r="P16" s="44">
        <v>0.0</v>
      </c>
      <c r="Q16" s="45">
        <f t="shared" si="6"/>
        <v>0.08333333333</v>
      </c>
      <c r="R16" s="46">
        <f t="shared" si="7"/>
        <v>14.58333333</v>
      </c>
      <c r="S16" s="31"/>
    </row>
    <row r="17" ht="15.0" customHeight="1">
      <c r="B17" s="54"/>
      <c r="D17" s="6"/>
      <c r="L17" s="26" t="s">
        <v>19</v>
      </c>
      <c r="M17" s="21">
        <v>0.7083333333333334</v>
      </c>
      <c r="N17" s="21">
        <v>0.75</v>
      </c>
      <c r="O17" s="29">
        <f t="shared" si="5"/>
        <v>0.04166666667</v>
      </c>
      <c r="P17" s="44">
        <v>0.0</v>
      </c>
      <c r="Q17" s="45">
        <f t="shared" si="6"/>
        <v>0.04166666667</v>
      </c>
      <c r="R17" s="46">
        <f t="shared" si="7"/>
        <v>7.291666667</v>
      </c>
      <c r="S17" s="31"/>
    </row>
    <row r="18" ht="15.0" customHeight="1">
      <c r="B18" s="54"/>
      <c r="D18" s="6"/>
      <c r="L18" s="12" t="s">
        <v>39</v>
      </c>
      <c r="M18" s="21">
        <v>0.7083333333333334</v>
      </c>
      <c r="N18" s="21">
        <v>0.75</v>
      </c>
      <c r="O18" s="23">
        <f t="shared" si="5"/>
        <v>0.04166666667</v>
      </c>
      <c r="P18" s="44">
        <v>0.0</v>
      </c>
      <c r="Q18" s="45">
        <f t="shared" si="6"/>
        <v>0.04166666667</v>
      </c>
      <c r="R18" s="46">
        <f t="shared" si="7"/>
        <v>7.291666667</v>
      </c>
      <c r="S18" s="31"/>
    </row>
    <row r="19" ht="12.75" customHeight="1">
      <c r="C19" s="55" t="s">
        <v>23</v>
      </c>
      <c r="D19" s="55" t="s">
        <v>24</v>
      </c>
      <c r="E19" s="55" t="s">
        <v>25</v>
      </c>
      <c r="F19" s="56"/>
      <c r="L19" s="19" t="s">
        <v>12</v>
      </c>
      <c r="M19" s="21">
        <v>0.6666666666666666</v>
      </c>
      <c r="N19" s="21">
        <v>0.6666666666666666</v>
      </c>
      <c r="O19" s="23">
        <f t="shared" si="5"/>
        <v>0</v>
      </c>
      <c r="P19" s="44">
        <v>0.0</v>
      </c>
      <c r="Q19" s="45">
        <f t="shared" si="6"/>
        <v>0</v>
      </c>
      <c r="R19" s="46">
        <f t="shared" si="7"/>
        <v>0</v>
      </c>
      <c r="S19" s="31"/>
    </row>
    <row r="20" ht="15.75" customHeight="1">
      <c r="A20" s="57"/>
      <c r="B20" s="58"/>
      <c r="C20" s="59">
        <v>350.0</v>
      </c>
      <c r="D20" s="60">
        <v>120.0</v>
      </c>
      <c r="E20" s="60">
        <f>D20/2</f>
        <v>60</v>
      </c>
      <c r="F20" s="61"/>
      <c r="G20" s="6"/>
      <c r="H20" s="6"/>
      <c r="Q20" s="108">
        <f t="shared" ref="Q20:R20" si="10">SUM(Q5:Q19)</f>
        <v>1.041666667</v>
      </c>
      <c r="R20" s="112">
        <f t="shared" si="10"/>
        <v>182.2916667</v>
      </c>
    </row>
    <row r="21" ht="12.75" customHeight="1">
      <c r="A21" s="6"/>
      <c r="B21" s="6"/>
      <c r="C21" s="6"/>
      <c r="D21" s="6"/>
      <c r="E21" s="6"/>
      <c r="F21" s="62"/>
      <c r="G21" s="6"/>
      <c r="H21" s="6"/>
    </row>
    <row r="22" ht="12.75" customHeight="1">
      <c r="A22" s="6"/>
      <c r="B22" s="63" t="s">
        <v>26</v>
      </c>
      <c r="C22" s="64"/>
      <c r="D22" s="64"/>
      <c r="E22" s="64"/>
      <c r="F22" s="64"/>
      <c r="G22" s="64"/>
      <c r="H22" s="64"/>
      <c r="I22" s="6"/>
    </row>
    <row r="23" ht="26.25" customHeight="1">
      <c r="A23" s="65"/>
      <c r="B23" s="66" t="s">
        <v>3</v>
      </c>
      <c r="C23" s="67" t="s">
        <v>27</v>
      </c>
      <c r="D23" s="67" t="s">
        <v>28</v>
      </c>
      <c r="E23" s="68" t="s">
        <v>29</v>
      </c>
      <c r="F23" s="69" t="s">
        <v>30</v>
      </c>
      <c r="G23" s="69" t="s">
        <v>31</v>
      </c>
      <c r="H23" s="69" t="s">
        <v>32</v>
      </c>
      <c r="I23" s="69" t="s">
        <v>33</v>
      </c>
      <c r="N23" s="4" t="s">
        <v>54</v>
      </c>
    </row>
    <row r="24" ht="13.5" customHeight="1">
      <c r="A24" s="6"/>
      <c r="B24" s="71" t="s">
        <v>55</v>
      </c>
      <c r="C24" s="72" t="s">
        <v>56</v>
      </c>
      <c r="D24" s="73" t="s">
        <v>36</v>
      </c>
      <c r="E24" s="74">
        <v>120.0</v>
      </c>
      <c r="F24" s="75">
        <v>60.0</v>
      </c>
      <c r="G24" s="76">
        <f>C20/4</f>
        <v>87.5</v>
      </c>
      <c r="H24" s="77">
        <v>12.0</v>
      </c>
      <c r="I24" s="78">
        <f>G24/H24</f>
        <v>7.291666667</v>
      </c>
      <c r="L24" s="10" t="s">
        <v>4</v>
      </c>
      <c r="M24" s="13" t="s">
        <v>5</v>
      </c>
      <c r="N24" s="13" t="s">
        <v>6</v>
      </c>
      <c r="O24" s="13" t="s">
        <v>7</v>
      </c>
      <c r="P24" s="15" t="s">
        <v>8</v>
      </c>
      <c r="Q24" s="17" t="s">
        <v>10</v>
      </c>
      <c r="R24" s="18" t="s">
        <v>11</v>
      </c>
      <c r="S24" s="20"/>
    </row>
    <row r="25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9" t="s">
        <v>12</v>
      </c>
      <c r="M25" s="21">
        <v>0.6666666666666666</v>
      </c>
      <c r="N25" s="21">
        <v>0.6666666666666666</v>
      </c>
      <c r="O25" s="23">
        <f t="shared" ref="O25:O39" si="11">SUM(N25-M25)</f>
        <v>0</v>
      </c>
      <c r="P25" s="24">
        <v>0.0</v>
      </c>
      <c r="Q25" s="25">
        <f t="shared" ref="Q25:Q39" si="12">O25-P25</f>
        <v>0</v>
      </c>
      <c r="R25" s="27">
        <f t="shared" ref="R25:R39" si="13">Q25*C$26*24</f>
        <v>0</v>
      </c>
      <c r="S25" s="31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79" t="s">
        <v>37</v>
      </c>
      <c r="C26" s="80">
        <f>I24</f>
        <v>7.291666667</v>
      </c>
      <c r="D26" s="6"/>
      <c r="E26" s="6"/>
      <c r="F26" s="6"/>
      <c r="G26" s="6"/>
      <c r="H26" s="6"/>
      <c r="I26" s="6"/>
      <c r="J26" s="6"/>
      <c r="K26" s="6"/>
      <c r="L26" s="19" t="s">
        <v>14</v>
      </c>
      <c r="M26" s="21">
        <v>0.6666666666666666</v>
      </c>
      <c r="N26" s="21">
        <v>0.6666666666666666</v>
      </c>
      <c r="O26" s="23">
        <f t="shared" si="11"/>
        <v>0</v>
      </c>
      <c r="P26" s="24">
        <v>0.0</v>
      </c>
      <c r="Q26" s="25">
        <f t="shared" si="12"/>
        <v>0</v>
      </c>
      <c r="R26" s="27">
        <f t="shared" si="13"/>
        <v>0</v>
      </c>
      <c r="S26" s="31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9" t="s">
        <v>15</v>
      </c>
      <c r="M27" s="21">
        <v>0.25</v>
      </c>
      <c r="N27" s="21">
        <v>0.3541666666666667</v>
      </c>
      <c r="O27" s="23">
        <f t="shared" si="11"/>
        <v>0.1041666667</v>
      </c>
      <c r="P27" s="24">
        <v>0.0</v>
      </c>
      <c r="Q27" s="25">
        <f t="shared" si="12"/>
        <v>0.1041666667</v>
      </c>
      <c r="R27" s="27">
        <f t="shared" si="13"/>
        <v>18.22916667</v>
      </c>
      <c r="S27" s="31"/>
      <c r="T27" s="6"/>
      <c r="U27" s="6"/>
      <c r="V27" s="6"/>
      <c r="W27" s="6"/>
      <c r="X27" s="6"/>
      <c r="Y27" s="6"/>
      <c r="Z27" s="6"/>
    </row>
    <row r="28" ht="13.5" customHeight="1">
      <c r="A28" s="6"/>
      <c r="B28" s="81" t="s">
        <v>38</v>
      </c>
      <c r="C28" s="82"/>
      <c r="D28" s="82"/>
      <c r="E28" s="82"/>
      <c r="F28" s="82"/>
      <c r="G28" s="82"/>
      <c r="H28" s="83"/>
      <c r="I28" s="140"/>
      <c r="J28" s="6"/>
      <c r="K28" s="6"/>
      <c r="L28" s="19" t="s">
        <v>16</v>
      </c>
      <c r="M28" s="21">
        <v>0.25</v>
      </c>
      <c r="N28" s="21">
        <v>0.3541666666666667</v>
      </c>
      <c r="O28" s="23">
        <f t="shared" si="11"/>
        <v>0.1041666667</v>
      </c>
      <c r="P28" s="24">
        <v>0.0</v>
      </c>
      <c r="Q28" s="25">
        <f t="shared" si="12"/>
        <v>0.1041666667</v>
      </c>
      <c r="R28" s="27">
        <f t="shared" si="13"/>
        <v>18.22916667</v>
      </c>
      <c r="S28" s="31"/>
      <c r="T28" s="6"/>
      <c r="U28" s="6"/>
      <c r="V28" s="6"/>
      <c r="W28" s="6"/>
      <c r="X28" s="6"/>
      <c r="Y28" s="6"/>
      <c r="Z28" s="6"/>
    </row>
    <row r="29" ht="15.0" customHeight="1">
      <c r="A29" s="6"/>
      <c r="B29" s="84" t="s">
        <v>4</v>
      </c>
      <c r="C29" s="85" t="s">
        <v>5</v>
      </c>
      <c r="D29" s="85" t="s">
        <v>6</v>
      </c>
      <c r="E29" s="85" t="s">
        <v>7</v>
      </c>
      <c r="F29" s="86" t="s">
        <v>8</v>
      </c>
      <c r="G29" s="87" t="s">
        <v>10</v>
      </c>
      <c r="H29" s="141" t="s">
        <v>41</v>
      </c>
      <c r="I29" s="143"/>
      <c r="J29" s="6"/>
      <c r="K29" s="6"/>
      <c r="L29" s="19" t="s">
        <v>17</v>
      </c>
      <c r="M29" s="21">
        <v>0.25</v>
      </c>
      <c r="N29" s="21">
        <v>0.3541666666666667</v>
      </c>
      <c r="O29" s="23">
        <f t="shared" si="11"/>
        <v>0.1041666667</v>
      </c>
      <c r="P29" s="24">
        <v>0.0</v>
      </c>
      <c r="Q29" s="25">
        <f t="shared" si="12"/>
        <v>0.1041666667</v>
      </c>
      <c r="R29" s="27">
        <f t="shared" si="13"/>
        <v>18.22916667</v>
      </c>
      <c r="S29" s="31"/>
      <c r="T29" s="6"/>
      <c r="U29" s="6"/>
      <c r="V29" s="6"/>
      <c r="W29" s="6"/>
      <c r="X29" s="6"/>
      <c r="Y29" s="6"/>
      <c r="Z29" s="6"/>
    </row>
    <row r="30" ht="15.0" customHeight="1">
      <c r="A30" s="6"/>
      <c r="B30" s="90" t="s">
        <v>12</v>
      </c>
      <c r="C30" s="21">
        <v>0.75</v>
      </c>
      <c r="D30" s="21">
        <v>0.9583333333333334</v>
      </c>
      <c r="E30" s="23">
        <f t="shared" ref="E30:E35" si="14">SUM(D30-C30)</f>
        <v>0.2083333333</v>
      </c>
      <c r="F30" s="24">
        <v>0.0</v>
      </c>
      <c r="G30" s="92">
        <f t="shared" ref="G30:G35" si="15">E30-F30</f>
        <v>0.2083333333</v>
      </c>
      <c r="H30" s="153">
        <f t="shared" ref="H30:H35" si="16">SUM(G30*$C$26)*24</f>
        <v>36.45833333</v>
      </c>
      <c r="I30" s="155"/>
      <c r="J30" s="94"/>
      <c r="K30" s="6"/>
      <c r="L30" s="26" t="s">
        <v>19</v>
      </c>
      <c r="M30" s="21">
        <v>0.25</v>
      </c>
      <c r="N30" s="21">
        <v>0.375</v>
      </c>
      <c r="O30" s="29">
        <f t="shared" si="11"/>
        <v>0.125</v>
      </c>
      <c r="P30" s="24">
        <v>0.0</v>
      </c>
      <c r="Q30" s="32">
        <f t="shared" si="12"/>
        <v>0.125</v>
      </c>
      <c r="R30" s="27">
        <f t="shared" si="13"/>
        <v>21.875</v>
      </c>
      <c r="S30" s="43"/>
      <c r="T30" s="6"/>
      <c r="U30" s="6"/>
      <c r="V30" s="6"/>
      <c r="W30" s="6"/>
      <c r="X30" s="6"/>
      <c r="Y30" s="6"/>
      <c r="Z30" s="6"/>
    </row>
    <row r="31" ht="15.0" customHeight="1">
      <c r="A31" s="6"/>
      <c r="B31" s="90" t="s">
        <v>14</v>
      </c>
      <c r="C31" s="21">
        <v>0.75</v>
      </c>
      <c r="D31" s="21">
        <v>0.9583333333333334</v>
      </c>
      <c r="E31" s="23">
        <f t="shared" si="14"/>
        <v>0.2083333333</v>
      </c>
      <c r="F31" s="24">
        <v>0.0</v>
      </c>
      <c r="G31" s="92">
        <f t="shared" si="15"/>
        <v>0.2083333333</v>
      </c>
      <c r="H31" s="153">
        <f t="shared" si="16"/>
        <v>36.45833333</v>
      </c>
      <c r="I31" s="155"/>
      <c r="K31" s="6"/>
      <c r="L31" s="12" t="s">
        <v>39</v>
      </c>
      <c r="M31" s="21">
        <v>0.25</v>
      </c>
      <c r="N31" s="21">
        <v>0.3958333333333333</v>
      </c>
      <c r="O31" s="23">
        <f t="shared" si="11"/>
        <v>0.1458333333</v>
      </c>
      <c r="P31" s="24">
        <v>0.0</v>
      </c>
      <c r="Q31" s="25">
        <f t="shared" si="12"/>
        <v>0.1458333333</v>
      </c>
      <c r="R31" s="27">
        <f t="shared" si="13"/>
        <v>25.52083333</v>
      </c>
      <c r="T31" s="6"/>
      <c r="U31" s="6"/>
      <c r="V31" s="6"/>
      <c r="W31" s="6"/>
      <c r="X31" s="6"/>
      <c r="Y31" s="6"/>
      <c r="Z31" s="6"/>
    </row>
    <row r="32" ht="15.0" customHeight="1">
      <c r="A32" s="6"/>
      <c r="B32" s="90" t="s">
        <v>15</v>
      </c>
      <c r="C32" s="21">
        <v>0.75</v>
      </c>
      <c r="D32" s="21">
        <v>0.9583333333333334</v>
      </c>
      <c r="E32" s="23">
        <f t="shared" si="14"/>
        <v>0.2083333333</v>
      </c>
      <c r="F32" s="24">
        <v>0.0</v>
      </c>
      <c r="G32" s="92">
        <f t="shared" si="15"/>
        <v>0.2083333333</v>
      </c>
      <c r="H32" s="153">
        <f t="shared" si="16"/>
        <v>36.45833333</v>
      </c>
      <c r="I32" s="155"/>
      <c r="K32" s="6"/>
      <c r="L32" s="19" t="s">
        <v>12</v>
      </c>
      <c r="M32" s="21">
        <v>0.25</v>
      </c>
      <c r="N32" s="21">
        <v>0.3958333333333333</v>
      </c>
      <c r="O32" s="23">
        <f t="shared" si="11"/>
        <v>0.1458333333</v>
      </c>
      <c r="P32" s="24">
        <v>0.0</v>
      </c>
      <c r="Q32" s="25">
        <f t="shared" si="12"/>
        <v>0.1458333333</v>
      </c>
      <c r="R32" s="27">
        <f t="shared" si="13"/>
        <v>25.52083333</v>
      </c>
      <c r="T32" s="6"/>
      <c r="U32" s="6"/>
      <c r="V32" s="6"/>
      <c r="W32" s="6"/>
      <c r="X32" s="6"/>
      <c r="Y32" s="6"/>
      <c r="Z32" s="6"/>
    </row>
    <row r="33" ht="15.0" customHeight="1">
      <c r="A33" s="6"/>
      <c r="B33" s="90" t="s">
        <v>16</v>
      </c>
      <c r="C33" s="21">
        <v>0.75</v>
      </c>
      <c r="D33" s="21">
        <v>0.9583333333333334</v>
      </c>
      <c r="E33" s="23">
        <f t="shared" si="14"/>
        <v>0.2083333333</v>
      </c>
      <c r="F33" s="24">
        <v>0.0</v>
      </c>
      <c r="G33" s="92">
        <f t="shared" si="15"/>
        <v>0.2083333333</v>
      </c>
      <c r="H33" s="153">
        <f t="shared" si="16"/>
        <v>36.45833333</v>
      </c>
      <c r="I33" s="155"/>
      <c r="K33" s="6"/>
      <c r="L33" s="19" t="s">
        <v>14</v>
      </c>
      <c r="M33" s="21">
        <v>0.25</v>
      </c>
      <c r="N33" s="21">
        <v>0.4027777777777778</v>
      </c>
      <c r="O33" s="29">
        <f t="shared" si="11"/>
        <v>0.1527777778</v>
      </c>
      <c r="P33" s="24">
        <v>0.0</v>
      </c>
      <c r="Q33" s="25">
        <f t="shared" si="12"/>
        <v>0.1527777778</v>
      </c>
      <c r="R33" s="27">
        <f t="shared" si="13"/>
        <v>26.73611111</v>
      </c>
      <c r="T33" s="6"/>
      <c r="U33" s="6"/>
      <c r="V33" s="6"/>
      <c r="W33" s="6"/>
      <c r="X33" s="6"/>
      <c r="Y33" s="6"/>
      <c r="Z33" s="6"/>
    </row>
    <row r="34" ht="15.0" customHeight="1">
      <c r="A34" s="6"/>
      <c r="B34" s="90" t="s">
        <v>17</v>
      </c>
      <c r="C34" s="21">
        <v>0.75</v>
      </c>
      <c r="D34" s="21">
        <v>0.9583333333333334</v>
      </c>
      <c r="E34" s="23">
        <f t="shared" si="14"/>
        <v>0.2083333333</v>
      </c>
      <c r="F34" s="24">
        <v>0.0</v>
      </c>
      <c r="G34" s="92">
        <f t="shared" si="15"/>
        <v>0.2083333333</v>
      </c>
      <c r="H34" s="153">
        <f t="shared" si="16"/>
        <v>36.45833333</v>
      </c>
      <c r="I34" s="155"/>
      <c r="K34" s="6"/>
      <c r="L34" s="19" t="s">
        <v>15</v>
      </c>
      <c r="M34" s="21">
        <v>0.25</v>
      </c>
      <c r="N34" s="21">
        <v>0.4027777777777778</v>
      </c>
      <c r="O34" s="23">
        <f t="shared" si="11"/>
        <v>0.1527777778</v>
      </c>
      <c r="P34" s="24">
        <v>0.0</v>
      </c>
      <c r="Q34" s="25">
        <f t="shared" si="12"/>
        <v>0.1527777778</v>
      </c>
      <c r="R34" s="27">
        <f t="shared" si="13"/>
        <v>26.73611111</v>
      </c>
      <c r="T34" s="6"/>
      <c r="U34" s="6"/>
      <c r="V34" s="6"/>
      <c r="W34" s="6"/>
      <c r="X34" s="6"/>
      <c r="Y34" s="6"/>
      <c r="Z34" s="6"/>
    </row>
    <row r="35" ht="15.75" customHeight="1">
      <c r="A35" s="6"/>
      <c r="B35" s="26" t="s">
        <v>19</v>
      </c>
      <c r="C35" s="21">
        <v>0.3333333333333333</v>
      </c>
      <c r="D35" s="21">
        <v>0.5416666666666666</v>
      </c>
      <c r="E35" s="29">
        <f t="shared" si="14"/>
        <v>0.2083333333</v>
      </c>
      <c r="F35" s="24">
        <v>0.0</v>
      </c>
      <c r="G35" s="32">
        <f t="shared" si="15"/>
        <v>0.2083333333</v>
      </c>
      <c r="H35" s="153">
        <f t="shared" si="16"/>
        <v>36.45833333</v>
      </c>
      <c r="I35" s="163"/>
      <c r="K35" s="6"/>
      <c r="L35" s="19" t="s">
        <v>16</v>
      </c>
      <c r="M35" s="21">
        <v>0.25</v>
      </c>
      <c r="N35" s="21">
        <v>0.375</v>
      </c>
      <c r="O35" s="23">
        <f t="shared" si="11"/>
        <v>0.125</v>
      </c>
      <c r="P35" s="24">
        <v>0.0</v>
      </c>
      <c r="Q35" s="25">
        <f t="shared" si="12"/>
        <v>0.125</v>
      </c>
      <c r="R35" s="27">
        <f t="shared" si="13"/>
        <v>21.875</v>
      </c>
      <c r="T35" s="6"/>
      <c r="U35" s="6"/>
      <c r="V35" s="6"/>
      <c r="W35" s="6"/>
      <c r="X35" s="6"/>
      <c r="Y35" s="6"/>
      <c r="Z35" s="6"/>
    </row>
    <row r="36" ht="15.75" customHeight="1">
      <c r="A36" s="6"/>
      <c r="B36" s="96"/>
      <c r="C36" s="34"/>
      <c r="D36" s="34"/>
      <c r="E36" s="35">
        <f>SUM(E30:E35)</f>
        <v>1.25</v>
      </c>
      <c r="F36" s="36"/>
      <c r="G36" s="35">
        <f t="shared" ref="G36:H36" si="17">SUM(G30:G35)</f>
        <v>1.25</v>
      </c>
      <c r="H36" s="47">
        <f t="shared" si="17"/>
        <v>218.75</v>
      </c>
      <c r="I36" s="163"/>
      <c r="K36" s="6"/>
      <c r="L36" s="19" t="s">
        <v>17</v>
      </c>
      <c r="M36" s="21">
        <v>0.25</v>
      </c>
      <c r="N36" s="21">
        <v>0.375</v>
      </c>
      <c r="O36" s="23">
        <f t="shared" si="11"/>
        <v>0.125</v>
      </c>
      <c r="P36" s="44">
        <v>0.0</v>
      </c>
      <c r="Q36" s="45">
        <f t="shared" si="12"/>
        <v>0.125</v>
      </c>
      <c r="R36" s="27">
        <f t="shared" si="13"/>
        <v>21.875</v>
      </c>
      <c r="T36" s="6"/>
      <c r="U36" s="6"/>
      <c r="V36" s="6"/>
      <c r="W36" s="6"/>
      <c r="X36" s="6"/>
      <c r="Y36" s="6"/>
      <c r="Z36" s="6"/>
    </row>
    <row r="37" ht="15.75" customHeight="1">
      <c r="A37" s="6"/>
      <c r="B37" s="98"/>
      <c r="C37" s="99"/>
      <c r="D37" s="100"/>
      <c r="E37" s="101" t="s">
        <v>44</v>
      </c>
      <c r="F37" s="102"/>
      <c r="G37" s="102"/>
      <c r="H37" s="164"/>
      <c r="I37" s="140"/>
      <c r="J37" s="6"/>
      <c r="K37" s="6"/>
      <c r="L37" s="26" t="s">
        <v>19</v>
      </c>
      <c r="M37" s="21">
        <v>0.25</v>
      </c>
      <c r="N37" s="21">
        <v>0.25</v>
      </c>
      <c r="O37" s="29">
        <f t="shared" si="11"/>
        <v>0</v>
      </c>
      <c r="P37" s="44">
        <v>0.0</v>
      </c>
      <c r="Q37" s="45">
        <f t="shared" si="12"/>
        <v>0</v>
      </c>
      <c r="R37" s="27">
        <f t="shared" si="13"/>
        <v>0</v>
      </c>
      <c r="T37" s="6"/>
      <c r="U37" s="6"/>
      <c r="V37" s="6"/>
      <c r="W37" s="6"/>
      <c r="X37" s="6"/>
      <c r="Y37" s="6"/>
      <c r="Z37" s="6"/>
    </row>
    <row r="38" ht="15.0" customHeight="1">
      <c r="A38" s="6"/>
      <c r="B38" s="98"/>
      <c r="C38" s="99"/>
      <c r="D38" s="100"/>
      <c r="E38" s="104"/>
      <c r="F38" s="100"/>
      <c r="G38" s="104"/>
      <c r="H38" s="52"/>
      <c r="I38" s="6"/>
      <c r="J38" s="6"/>
      <c r="K38" s="6"/>
      <c r="L38" s="12" t="s">
        <v>39</v>
      </c>
      <c r="M38" s="21">
        <v>0.25</v>
      </c>
      <c r="N38" s="21">
        <v>0.25</v>
      </c>
      <c r="O38" s="23">
        <f t="shared" si="11"/>
        <v>0</v>
      </c>
      <c r="P38" s="44">
        <v>0.0</v>
      </c>
      <c r="Q38" s="45">
        <f t="shared" si="12"/>
        <v>0</v>
      </c>
      <c r="R38" s="27">
        <f t="shared" si="13"/>
        <v>0</v>
      </c>
      <c r="T38" s="6"/>
      <c r="U38" s="6"/>
      <c r="V38" s="6"/>
      <c r="W38" s="6"/>
      <c r="X38" s="6"/>
      <c r="Y38" s="6"/>
      <c r="Z38" s="6"/>
    </row>
    <row r="39" ht="12.75" customHeight="1">
      <c r="L39" s="19" t="s">
        <v>12</v>
      </c>
      <c r="M39" s="21">
        <v>0.25</v>
      </c>
      <c r="N39" s="21">
        <v>0.625</v>
      </c>
      <c r="O39" s="23">
        <f t="shared" si="11"/>
        <v>0.375</v>
      </c>
      <c r="P39" s="44">
        <v>0.0</v>
      </c>
      <c r="Q39" s="45">
        <f t="shared" si="12"/>
        <v>0.375</v>
      </c>
      <c r="R39" s="27">
        <f t="shared" si="13"/>
        <v>65.625</v>
      </c>
    </row>
    <row r="40" ht="12.75" customHeight="1">
      <c r="B40" s="113" t="s">
        <v>45</v>
      </c>
      <c r="C40" s="165"/>
      <c r="D40" s="165"/>
      <c r="E40" s="165"/>
      <c r="F40" s="165"/>
      <c r="G40" s="165"/>
      <c r="H40" s="165"/>
      <c r="I40" s="160"/>
      <c r="Q40" s="108">
        <f t="shared" ref="Q40:R40" si="18">SUM(Q25:Q39)</f>
        <v>1.659722222</v>
      </c>
      <c r="R40" s="112">
        <f t="shared" si="18"/>
        <v>290.4513889</v>
      </c>
    </row>
    <row r="41" ht="16.5" customHeight="1">
      <c r="B41" s="166" t="s">
        <v>66</v>
      </c>
      <c r="C41" s="106"/>
      <c r="D41" s="106"/>
      <c r="E41" s="106"/>
      <c r="F41" s="106"/>
      <c r="G41" s="106"/>
      <c r="H41" s="106"/>
      <c r="I41" s="107"/>
    </row>
    <row r="42" ht="14.25" customHeight="1">
      <c r="B42" s="167" t="s">
        <v>47</v>
      </c>
      <c r="C42" s="168" t="s">
        <v>48</v>
      </c>
      <c r="D42" s="126"/>
      <c r="E42" s="162"/>
      <c r="F42" s="169" t="s">
        <v>49</v>
      </c>
      <c r="G42" s="169" t="s">
        <v>50</v>
      </c>
      <c r="H42" s="169" t="s">
        <v>51</v>
      </c>
      <c r="I42" s="170" t="s">
        <v>52</v>
      </c>
      <c r="M42" s="12" t="s">
        <v>67</v>
      </c>
    </row>
    <row r="43" ht="17.25" customHeight="1">
      <c r="B43" s="171">
        <v>45394.0</v>
      </c>
      <c r="C43" s="161" t="s">
        <v>68</v>
      </c>
      <c r="D43" s="126"/>
      <c r="E43" s="162"/>
      <c r="F43" s="172">
        <v>87.5</v>
      </c>
      <c r="G43" s="173"/>
      <c r="H43" s="173">
        <f>F43</f>
        <v>87.5</v>
      </c>
      <c r="I43" s="174"/>
      <c r="M43" s="19" t="s">
        <v>16</v>
      </c>
      <c r="Q43" s="112">
        <f>SUM(R20+R40)</f>
        <v>472.7430556</v>
      </c>
    </row>
    <row r="44" ht="18.75" customHeight="1">
      <c r="B44" s="171">
        <v>45396.0</v>
      </c>
      <c r="C44" s="161" t="s">
        <v>69</v>
      </c>
      <c r="D44" s="126"/>
      <c r="E44" s="162"/>
      <c r="F44" s="173"/>
      <c r="G44" s="172">
        <v>87.5</v>
      </c>
      <c r="H44" s="173">
        <f t="shared" ref="H44:H48" si="19">H43+F44-G44</f>
        <v>0</v>
      </c>
      <c r="I44" s="174"/>
      <c r="M44" s="19" t="s">
        <v>17</v>
      </c>
    </row>
    <row r="45" ht="21.0" customHeight="1">
      <c r="B45" s="171">
        <v>45397.0</v>
      </c>
      <c r="C45" s="161" t="s">
        <v>70</v>
      </c>
      <c r="D45" s="126"/>
      <c r="E45" s="162"/>
      <c r="F45" s="172">
        <v>87.5</v>
      </c>
      <c r="G45" s="173"/>
      <c r="H45" s="173">
        <f t="shared" si="19"/>
        <v>87.5</v>
      </c>
      <c r="I45" s="174"/>
      <c r="J45" s="12" t="s">
        <v>71</v>
      </c>
      <c r="M45" s="26" t="s">
        <v>19</v>
      </c>
    </row>
    <row r="46" ht="12.75" customHeight="1">
      <c r="B46" s="171">
        <v>45401.0</v>
      </c>
      <c r="C46" s="161" t="s">
        <v>72</v>
      </c>
      <c r="D46" s="126"/>
      <c r="E46" s="162"/>
      <c r="F46" s="173"/>
      <c r="G46" s="172">
        <v>150.0</v>
      </c>
      <c r="H46" s="173">
        <f t="shared" si="19"/>
        <v>-62.5</v>
      </c>
      <c r="I46" s="174"/>
      <c r="M46" s="26" t="s">
        <v>73</v>
      </c>
    </row>
    <row r="47" ht="12.75" customHeight="1">
      <c r="B47" s="171">
        <v>45415.0</v>
      </c>
      <c r="C47" s="161" t="s">
        <v>74</v>
      </c>
      <c r="D47" s="126"/>
      <c r="E47" s="162"/>
      <c r="F47" s="172">
        <v>87.5</v>
      </c>
      <c r="G47" s="175"/>
      <c r="H47" s="173">
        <f t="shared" si="19"/>
        <v>25</v>
      </c>
      <c r="I47" s="174"/>
      <c r="M47" s="19" t="s">
        <v>12</v>
      </c>
    </row>
    <row r="48" ht="12.75" customHeight="1">
      <c r="B48" s="171">
        <v>45409.0</v>
      </c>
      <c r="C48" s="161" t="s">
        <v>63</v>
      </c>
      <c r="D48" s="126"/>
      <c r="E48" s="162"/>
      <c r="F48" s="173"/>
      <c r="G48" s="175">
        <v>50.0</v>
      </c>
      <c r="H48" s="173">
        <f t="shared" si="19"/>
        <v>-25</v>
      </c>
      <c r="I48" s="174"/>
    </row>
    <row r="49" ht="12.75" customHeight="1">
      <c r="B49" s="176">
        <v>45415.0</v>
      </c>
      <c r="C49" s="161" t="s">
        <v>75</v>
      </c>
      <c r="D49" s="126"/>
      <c r="E49" s="162"/>
      <c r="F49" s="173">
        <v>87.5</v>
      </c>
      <c r="G49" s="173"/>
      <c r="H49" s="173"/>
      <c r="I49" s="174"/>
    </row>
    <row r="50" ht="12.75" customHeight="1">
      <c r="B50" s="176">
        <v>45415.0</v>
      </c>
      <c r="C50" s="161" t="s">
        <v>76</v>
      </c>
      <c r="D50" s="126"/>
      <c r="E50" s="162"/>
      <c r="F50" s="173">
        <v>189.1</v>
      </c>
      <c r="G50" s="173"/>
      <c r="H50" s="173"/>
      <c r="I50" s="174"/>
    </row>
    <row r="51" ht="12.75" customHeight="1">
      <c r="B51" s="176">
        <v>45415.0</v>
      </c>
      <c r="C51" s="161" t="s">
        <v>67</v>
      </c>
      <c r="D51" s="126"/>
      <c r="E51" s="162"/>
      <c r="F51" s="173">
        <v>30.0</v>
      </c>
      <c r="G51" s="173"/>
      <c r="H51" s="173"/>
      <c r="I51" s="174"/>
    </row>
    <row r="52" ht="12.75" customHeight="1">
      <c r="B52" s="171"/>
      <c r="C52" s="161"/>
      <c r="D52" s="126"/>
      <c r="E52" s="162"/>
      <c r="F52" s="173"/>
      <c r="G52" s="173"/>
      <c r="H52" s="173">
        <f>F52-G52</f>
        <v>0</v>
      </c>
      <c r="I52" s="174"/>
    </row>
    <row r="53" ht="12.75" customHeight="1">
      <c r="B53" s="171">
        <v>45422.0</v>
      </c>
      <c r="C53" s="161" t="s">
        <v>77</v>
      </c>
      <c r="D53" s="126"/>
      <c r="E53" s="162"/>
      <c r="F53" s="173">
        <v>98.79</v>
      </c>
      <c r="G53" s="173"/>
      <c r="H53" s="173">
        <f t="shared" ref="H53:H62" si="20">H52+F53-G53</f>
        <v>98.79</v>
      </c>
      <c r="I53" s="174"/>
      <c r="J53" s="12" t="s">
        <v>78</v>
      </c>
    </row>
    <row r="54" ht="12.75" customHeight="1">
      <c r="B54" s="171">
        <v>45424.0</v>
      </c>
      <c r="C54" s="161" t="s">
        <v>79</v>
      </c>
      <c r="D54" s="126"/>
      <c r="E54" s="162"/>
      <c r="F54" s="173"/>
      <c r="G54" s="173">
        <v>84.68</v>
      </c>
      <c r="H54" s="173">
        <f t="shared" si="20"/>
        <v>14.11</v>
      </c>
      <c r="I54" s="174"/>
      <c r="M54" s="177"/>
      <c r="N54" s="178"/>
    </row>
    <row r="55" ht="12.75" customHeight="1">
      <c r="B55" s="171">
        <v>45429.0</v>
      </c>
      <c r="C55" s="161" t="s">
        <v>80</v>
      </c>
      <c r="D55" s="126"/>
      <c r="E55" s="162"/>
      <c r="F55" s="173">
        <v>112.9</v>
      </c>
      <c r="G55" s="173"/>
      <c r="H55" s="173">
        <f t="shared" si="20"/>
        <v>127.01</v>
      </c>
      <c r="I55" s="174"/>
    </row>
    <row r="56" ht="12.75" customHeight="1">
      <c r="B56" s="171">
        <v>45431.0</v>
      </c>
      <c r="C56" s="161" t="s">
        <v>79</v>
      </c>
      <c r="D56" s="126"/>
      <c r="E56" s="162"/>
      <c r="F56" s="173"/>
      <c r="G56" s="173">
        <v>84.68</v>
      </c>
      <c r="H56" s="173">
        <f t="shared" si="20"/>
        <v>42.33</v>
      </c>
      <c r="I56" s="174"/>
    </row>
    <row r="57" ht="12.75" customHeight="1">
      <c r="B57" s="171">
        <v>45436.0</v>
      </c>
      <c r="C57" s="161" t="s">
        <v>81</v>
      </c>
      <c r="D57" s="126"/>
      <c r="E57" s="162"/>
      <c r="F57" s="173">
        <v>112.9</v>
      </c>
      <c r="G57" s="173"/>
      <c r="H57" s="173">
        <f t="shared" si="20"/>
        <v>155.23</v>
      </c>
      <c r="I57" s="174"/>
    </row>
    <row r="58" ht="12.75" customHeight="1">
      <c r="B58" s="171">
        <v>45438.0</v>
      </c>
      <c r="C58" s="161" t="s">
        <v>63</v>
      </c>
      <c r="D58" s="126"/>
      <c r="E58" s="162"/>
      <c r="F58" s="173"/>
      <c r="G58" s="173">
        <v>84.68</v>
      </c>
      <c r="H58" s="173">
        <f t="shared" si="20"/>
        <v>70.55</v>
      </c>
      <c r="I58" s="174"/>
    </row>
    <row r="59" ht="12.75" customHeight="1">
      <c r="B59" s="171">
        <v>45443.0</v>
      </c>
      <c r="C59" s="161" t="s">
        <v>64</v>
      </c>
      <c r="D59" s="126"/>
      <c r="E59" s="162"/>
      <c r="F59" s="173">
        <v>112.9</v>
      </c>
      <c r="G59" s="173"/>
      <c r="H59" s="173">
        <f t="shared" si="20"/>
        <v>183.45</v>
      </c>
      <c r="I59" s="174"/>
    </row>
    <row r="60" ht="15.75" customHeight="1">
      <c r="B60" s="171">
        <v>45443.0</v>
      </c>
      <c r="C60" s="161" t="s">
        <v>82</v>
      </c>
      <c r="D60" s="126"/>
      <c r="E60" s="162"/>
      <c r="F60" s="173"/>
      <c r="G60" s="173">
        <v>50.0</v>
      </c>
      <c r="H60" s="173">
        <f t="shared" si="20"/>
        <v>133.45</v>
      </c>
      <c r="I60" s="174"/>
      <c r="J60" s="12" t="s">
        <v>83</v>
      </c>
    </row>
    <row r="61" ht="15.75" customHeight="1">
      <c r="B61" s="171">
        <v>45450.0</v>
      </c>
      <c r="C61" s="179" t="s">
        <v>65</v>
      </c>
      <c r="D61" s="179"/>
      <c r="E61" s="179"/>
      <c r="F61" s="173">
        <v>112.9</v>
      </c>
      <c r="G61" s="173"/>
      <c r="H61" s="173">
        <f t="shared" si="20"/>
        <v>246.35</v>
      </c>
      <c r="I61" s="174"/>
      <c r="J61" s="12"/>
    </row>
    <row r="62" ht="15.75" customHeight="1">
      <c r="B62" s="171">
        <v>45452.0</v>
      </c>
      <c r="C62" s="179" t="s">
        <v>63</v>
      </c>
      <c r="D62" s="179"/>
      <c r="E62" s="179"/>
      <c r="F62" s="173"/>
      <c r="G62" s="173">
        <v>87.5</v>
      </c>
      <c r="H62" s="173">
        <f t="shared" si="20"/>
        <v>158.85</v>
      </c>
      <c r="I62" s="174"/>
      <c r="J62" s="12"/>
    </row>
    <row r="63" ht="15.75" customHeight="1">
      <c r="B63" s="171"/>
      <c r="C63" s="179"/>
      <c r="D63" s="179"/>
      <c r="E63" s="179"/>
      <c r="F63" s="173"/>
      <c r="G63" s="173"/>
      <c r="H63" s="173"/>
      <c r="I63" s="174"/>
      <c r="J63" s="12"/>
    </row>
    <row r="64" ht="15.75" customHeight="1">
      <c r="B64" s="171"/>
      <c r="C64" s="179"/>
      <c r="D64" s="179"/>
      <c r="E64" s="179"/>
      <c r="F64" s="173"/>
      <c r="G64" s="173"/>
      <c r="H64" s="173"/>
      <c r="I64" s="174"/>
      <c r="J64" s="12"/>
    </row>
    <row r="65" ht="15.75" customHeight="1">
      <c r="B65" s="171"/>
      <c r="C65" s="179"/>
      <c r="D65" s="179"/>
      <c r="E65" s="179"/>
      <c r="F65" s="173"/>
      <c r="G65" s="173"/>
      <c r="H65" s="173"/>
      <c r="I65" s="174"/>
      <c r="J65" s="12"/>
    </row>
    <row r="66" ht="15.75" customHeight="1">
      <c r="B66" s="171"/>
      <c r="C66" s="179"/>
      <c r="D66" s="179"/>
      <c r="E66" s="179"/>
      <c r="F66" s="173"/>
      <c r="G66" s="173"/>
      <c r="H66" s="173"/>
      <c r="I66" s="174"/>
      <c r="J66" s="12"/>
    </row>
    <row r="67" ht="15.75" customHeight="1">
      <c r="B67" s="171"/>
      <c r="C67" s="179"/>
      <c r="D67" s="179"/>
      <c r="E67" s="179"/>
      <c r="F67" s="173"/>
      <c r="G67" s="173"/>
      <c r="H67" s="173"/>
      <c r="I67" s="174"/>
      <c r="J67" s="12"/>
    </row>
    <row r="68" ht="15.75" customHeight="1">
      <c r="B68" s="180"/>
      <c r="C68" s="181"/>
      <c r="D68" s="181"/>
      <c r="E68" s="181"/>
      <c r="F68" s="182"/>
      <c r="G68" s="182"/>
      <c r="H68" s="182"/>
      <c r="I68" s="183"/>
      <c r="J68" s="12"/>
    </row>
    <row r="69" ht="18.0" customHeight="1">
      <c r="B69" s="148"/>
      <c r="C69" s="149"/>
      <c r="F69" s="184">
        <f t="shared" ref="F69:G69" si="21">SUM(F43:F60)</f>
        <v>1006.59</v>
      </c>
      <c r="G69" s="185">
        <f t="shared" si="21"/>
        <v>591.54</v>
      </c>
      <c r="H69" s="186">
        <f>H62+F69-G69</f>
        <v>573.9</v>
      </c>
      <c r="I69" s="154" t="s">
        <v>61</v>
      </c>
    </row>
    <row r="70" ht="18.0" customHeight="1">
      <c r="B70" s="156"/>
      <c r="D70" s="157"/>
      <c r="E70" s="157"/>
      <c r="F70" s="159" t="s">
        <v>62</v>
      </c>
      <c r="G70" s="160"/>
      <c r="H70" s="187">
        <f>H62</f>
        <v>158.85</v>
      </c>
    </row>
    <row r="71" ht="9.0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D2:F2"/>
    <mergeCell ref="N2:P2"/>
    <mergeCell ref="B22:H22"/>
    <mergeCell ref="N23:P23"/>
    <mergeCell ref="B28:H28"/>
    <mergeCell ref="J30:J36"/>
    <mergeCell ref="E37:G37"/>
    <mergeCell ref="B40:I40"/>
    <mergeCell ref="B41:I41"/>
    <mergeCell ref="C42:E42"/>
    <mergeCell ref="M42:N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60:E60"/>
    <mergeCell ref="I69:I70"/>
    <mergeCell ref="F70:G70"/>
    <mergeCell ref="C53:E53"/>
    <mergeCell ref="C54:E54"/>
    <mergeCell ref="C55:E55"/>
    <mergeCell ref="C56:E56"/>
    <mergeCell ref="C57:E57"/>
    <mergeCell ref="C58:E58"/>
    <mergeCell ref="C59:E59"/>
  </mergeCells>
  <printOptions/>
  <pageMargins bottom="0.75" footer="0.0" header="0.0" left="0.7" right="0.7" top="0.75"/>
  <pageSetup paperSize="9" orientation="landscape"/>
  <headerFooter>
    <oddHeader>&amp;C&amp;D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63"/>
    <col customWidth="1" min="3" max="3" width="14.75"/>
    <col customWidth="1" min="4" max="4" width="12.63"/>
    <col customWidth="1" min="5" max="6" width="10.25"/>
    <col customWidth="1" min="7" max="8" width="11.0"/>
    <col customWidth="1" min="9" max="9" width="11.38"/>
    <col customWidth="1" min="10" max="12" width="8.75"/>
    <col customWidth="1" min="13" max="13" width="13.88"/>
    <col customWidth="1" min="14" max="14" width="15.63"/>
    <col customWidth="1" min="15" max="16" width="8.75"/>
    <col customWidth="1" min="17" max="17" width="11.63"/>
    <col customWidth="1" min="18" max="18" width="12.0"/>
    <col customWidth="1" min="19" max="26" width="8.75"/>
  </cols>
  <sheetData>
    <row r="1" ht="12.75" customHeight="1">
      <c r="A1" s="12" t="s">
        <v>0</v>
      </c>
    </row>
    <row r="2" ht="12.75" customHeight="1">
      <c r="D2" s="4" t="s">
        <v>2</v>
      </c>
      <c r="N2" s="4" t="s">
        <v>9</v>
      </c>
    </row>
    <row r="3" ht="13.5" customHeight="1">
      <c r="B3" s="6"/>
      <c r="C3" s="7"/>
      <c r="D3" s="7"/>
      <c r="E3" s="8"/>
      <c r="F3" s="4"/>
      <c r="L3" s="6"/>
      <c r="M3" s="7"/>
      <c r="N3" s="7"/>
      <c r="O3" s="8"/>
      <c r="P3" s="4"/>
    </row>
    <row r="4" ht="15.0" customHeight="1">
      <c r="B4" s="10" t="s">
        <v>4</v>
      </c>
      <c r="C4" s="13" t="s">
        <v>5</v>
      </c>
      <c r="D4" s="13" t="s">
        <v>6</v>
      </c>
      <c r="E4" s="13" t="s">
        <v>7</v>
      </c>
      <c r="F4" s="15" t="s">
        <v>8</v>
      </c>
      <c r="G4" s="17" t="s">
        <v>10</v>
      </c>
      <c r="H4" s="18" t="s">
        <v>11</v>
      </c>
      <c r="I4" s="20" t="s">
        <v>13</v>
      </c>
      <c r="L4" s="10" t="s">
        <v>4</v>
      </c>
      <c r="M4" s="13" t="s">
        <v>5</v>
      </c>
      <c r="N4" s="13" t="s">
        <v>6</v>
      </c>
      <c r="O4" s="13" t="s">
        <v>7</v>
      </c>
      <c r="P4" s="15" t="s">
        <v>8</v>
      </c>
      <c r="Q4" s="22" t="s">
        <v>10</v>
      </c>
      <c r="R4" s="18" t="s">
        <v>11</v>
      </c>
      <c r="S4" s="20"/>
    </row>
    <row r="5" ht="15.0" customHeight="1">
      <c r="B5" s="19" t="s">
        <v>12</v>
      </c>
      <c r="C5" s="21">
        <v>0.75</v>
      </c>
      <c r="D5" s="21">
        <v>0.9583333333333334</v>
      </c>
      <c r="E5" s="23">
        <f t="shared" ref="E5:E10" si="1">SUM(D5-C5)</f>
        <v>0.2083333333</v>
      </c>
      <c r="F5" s="24">
        <v>0.0</v>
      </c>
      <c r="G5" s="25">
        <f t="shared" ref="G5:G10" si="2">E5-F5</f>
        <v>0.2083333333</v>
      </c>
      <c r="H5" s="27">
        <f t="shared" ref="H5:H10" si="3">G5*C$26*24</f>
        <v>14.11290323</v>
      </c>
      <c r="I5" s="31">
        <f t="shared" ref="I5:I11" si="4">H5*4</f>
        <v>56.4516129</v>
      </c>
      <c r="L5" s="19" t="s">
        <v>12</v>
      </c>
      <c r="M5" s="21">
        <v>0.6666666666666666</v>
      </c>
      <c r="N5" s="21">
        <v>0.6666666666666666</v>
      </c>
      <c r="O5" s="23">
        <f t="shared" ref="O5:O19" si="5">SUM(N5-M5)</f>
        <v>0</v>
      </c>
      <c r="P5" s="44">
        <v>0.0</v>
      </c>
      <c r="Q5" s="45">
        <f t="shared" ref="Q5:Q19" si="6">O5-P5</f>
        <v>0</v>
      </c>
      <c r="R5" s="46">
        <f t="shared" ref="R5:R19" si="7">Q5*C$26*24</f>
        <v>0</v>
      </c>
      <c r="S5" s="31"/>
    </row>
    <row r="6" ht="15.0" customHeight="1">
      <c r="B6" s="19" t="s">
        <v>14</v>
      </c>
      <c r="C6" s="21">
        <v>0.75</v>
      </c>
      <c r="D6" s="21">
        <v>0.9583333333333334</v>
      </c>
      <c r="E6" s="23">
        <f t="shared" si="1"/>
        <v>0.2083333333</v>
      </c>
      <c r="F6" s="24">
        <v>0.0</v>
      </c>
      <c r="G6" s="25">
        <f t="shared" si="2"/>
        <v>0.2083333333</v>
      </c>
      <c r="H6" s="27">
        <f t="shared" si="3"/>
        <v>14.11290323</v>
      </c>
      <c r="I6" s="31">
        <f t="shared" si="4"/>
        <v>56.4516129</v>
      </c>
      <c r="L6" s="19" t="s">
        <v>14</v>
      </c>
      <c r="M6" s="21">
        <v>0.6666666666666666</v>
      </c>
      <c r="N6" s="21">
        <v>0.75</v>
      </c>
      <c r="O6" s="23">
        <f t="shared" si="5"/>
        <v>0.08333333333</v>
      </c>
      <c r="P6" s="44">
        <v>0.0</v>
      </c>
      <c r="Q6" s="45">
        <f t="shared" si="6"/>
        <v>0.08333333333</v>
      </c>
      <c r="R6" s="46">
        <f t="shared" si="7"/>
        <v>5.64516129</v>
      </c>
      <c r="S6" s="31"/>
    </row>
    <row r="7" ht="15.0" customHeight="1">
      <c r="B7" s="19" t="s">
        <v>15</v>
      </c>
      <c r="C7" s="21">
        <v>0.75</v>
      </c>
      <c r="D7" s="21">
        <v>0.9583333333333334</v>
      </c>
      <c r="E7" s="23">
        <f t="shared" si="1"/>
        <v>0.2083333333</v>
      </c>
      <c r="F7" s="24">
        <v>0.0</v>
      </c>
      <c r="G7" s="25">
        <f t="shared" si="2"/>
        <v>0.2083333333</v>
      </c>
      <c r="H7" s="27">
        <f t="shared" si="3"/>
        <v>14.11290323</v>
      </c>
      <c r="I7" s="31">
        <f t="shared" si="4"/>
        <v>56.4516129</v>
      </c>
      <c r="L7" s="19" t="s">
        <v>15</v>
      </c>
      <c r="M7" s="21">
        <v>0.6666666666666666</v>
      </c>
      <c r="N7" s="21">
        <v>0.75</v>
      </c>
      <c r="O7" s="23">
        <f t="shared" si="5"/>
        <v>0.08333333333</v>
      </c>
      <c r="P7" s="44">
        <v>0.0</v>
      </c>
      <c r="Q7" s="45">
        <f t="shared" si="6"/>
        <v>0.08333333333</v>
      </c>
      <c r="R7" s="46">
        <f t="shared" si="7"/>
        <v>5.64516129</v>
      </c>
      <c r="S7" s="31"/>
    </row>
    <row r="8" ht="15.0" customHeight="1">
      <c r="B8" s="19" t="s">
        <v>16</v>
      </c>
      <c r="C8" s="21">
        <v>0.75</v>
      </c>
      <c r="D8" s="21">
        <v>0.9583333333333334</v>
      </c>
      <c r="E8" s="23">
        <f t="shared" si="1"/>
        <v>0.2083333333</v>
      </c>
      <c r="F8" s="24">
        <v>0.0</v>
      </c>
      <c r="G8" s="25">
        <f t="shared" si="2"/>
        <v>0.2083333333</v>
      </c>
      <c r="H8" s="27">
        <f t="shared" si="3"/>
        <v>14.11290323</v>
      </c>
      <c r="I8" s="31">
        <f t="shared" si="4"/>
        <v>56.4516129</v>
      </c>
      <c r="L8" s="19" t="s">
        <v>16</v>
      </c>
      <c r="M8" s="21">
        <v>0.6666666666666666</v>
      </c>
      <c r="N8" s="21">
        <v>0.75</v>
      </c>
      <c r="O8" s="23">
        <f t="shared" si="5"/>
        <v>0.08333333333</v>
      </c>
      <c r="P8" s="44">
        <v>0.0</v>
      </c>
      <c r="Q8" s="45">
        <f t="shared" si="6"/>
        <v>0.08333333333</v>
      </c>
      <c r="R8" s="46">
        <f t="shared" si="7"/>
        <v>5.64516129</v>
      </c>
      <c r="S8" s="31"/>
    </row>
    <row r="9" ht="15.0" customHeight="1">
      <c r="B9" s="19" t="s">
        <v>17</v>
      </c>
      <c r="C9" s="21">
        <v>0.75</v>
      </c>
      <c r="D9" s="21">
        <v>0.9583333333333334</v>
      </c>
      <c r="E9" s="23">
        <f t="shared" si="1"/>
        <v>0.2083333333</v>
      </c>
      <c r="F9" s="24">
        <v>0.0</v>
      </c>
      <c r="G9" s="25">
        <f t="shared" si="2"/>
        <v>0.2083333333</v>
      </c>
      <c r="H9" s="27">
        <f t="shared" si="3"/>
        <v>14.11290323</v>
      </c>
      <c r="I9" s="31">
        <f t="shared" si="4"/>
        <v>56.4516129</v>
      </c>
      <c r="L9" s="19" t="s">
        <v>17</v>
      </c>
      <c r="M9" s="21">
        <v>0.6666666666666666</v>
      </c>
      <c r="N9" s="21">
        <v>0.75</v>
      </c>
      <c r="O9" s="23">
        <f t="shared" si="5"/>
        <v>0.08333333333</v>
      </c>
      <c r="P9" s="44">
        <v>0.0</v>
      </c>
      <c r="Q9" s="45">
        <f t="shared" si="6"/>
        <v>0.08333333333</v>
      </c>
      <c r="R9" s="46">
        <f t="shared" si="7"/>
        <v>5.64516129</v>
      </c>
      <c r="S9" s="31"/>
    </row>
    <row r="10" ht="15.75" customHeight="1">
      <c r="B10" s="26" t="s">
        <v>19</v>
      </c>
      <c r="C10" s="21">
        <v>0.3333333333333333</v>
      </c>
      <c r="D10" s="21">
        <v>0.5833333333333334</v>
      </c>
      <c r="E10" s="29">
        <f t="shared" si="1"/>
        <v>0.25</v>
      </c>
      <c r="F10" s="24">
        <v>0.0</v>
      </c>
      <c r="G10" s="32">
        <f t="shared" si="2"/>
        <v>0.25</v>
      </c>
      <c r="H10" s="27">
        <f t="shared" si="3"/>
        <v>16.93548387</v>
      </c>
      <c r="I10" s="31">
        <f t="shared" si="4"/>
        <v>67.74193548</v>
      </c>
      <c r="L10" s="26" t="s">
        <v>19</v>
      </c>
      <c r="M10" s="21">
        <v>0.6666666666666666</v>
      </c>
      <c r="N10" s="21">
        <v>0.75</v>
      </c>
      <c r="O10" s="29">
        <f t="shared" si="5"/>
        <v>0.08333333333</v>
      </c>
      <c r="P10" s="44">
        <v>0.0</v>
      </c>
      <c r="Q10" s="45">
        <f t="shared" si="6"/>
        <v>0.08333333333</v>
      </c>
      <c r="R10" s="46">
        <f t="shared" si="7"/>
        <v>5.64516129</v>
      </c>
      <c r="S10" s="31"/>
    </row>
    <row r="11" ht="15.75" customHeight="1">
      <c r="B11" s="33"/>
      <c r="C11" s="34"/>
      <c r="D11" s="34"/>
      <c r="E11" s="35">
        <f>SUM(E5:E10)</f>
        <v>1.291666667</v>
      </c>
      <c r="F11" s="36"/>
      <c r="G11" s="35">
        <f t="shared" ref="G11:H11" si="8">SUM(G5:G10)</f>
        <v>1.291666667</v>
      </c>
      <c r="H11" s="47">
        <f t="shared" si="8"/>
        <v>87.5</v>
      </c>
      <c r="I11" s="48">
        <f t="shared" si="4"/>
        <v>350</v>
      </c>
      <c r="L11" s="12" t="s">
        <v>39</v>
      </c>
      <c r="M11" s="21">
        <v>0.6458333333333334</v>
      </c>
      <c r="N11" s="21">
        <v>0.75</v>
      </c>
      <c r="O11" s="23">
        <f t="shared" si="5"/>
        <v>0.1041666667</v>
      </c>
      <c r="P11" s="44">
        <v>0.0</v>
      </c>
      <c r="Q11" s="45">
        <f t="shared" si="6"/>
        <v>0.1041666667</v>
      </c>
      <c r="R11" s="46">
        <f t="shared" si="7"/>
        <v>7.056451613</v>
      </c>
      <c r="S11" s="31"/>
    </row>
    <row r="12" ht="15.0" customHeight="1">
      <c r="B12" s="37"/>
      <c r="C12" s="38"/>
      <c r="D12" s="38"/>
      <c r="E12" s="39"/>
      <c r="F12" s="40"/>
      <c r="G12" s="42"/>
      <c r="H12" s="49"/>
      <c r="L12" s="19" t="s">
        <v>12</v>
      </c>
      <c r="M12" s="21">
        <v>0.6666666666666666</v>
      </c>
      <c r="N12" s="21">
        <v>0.75</v>
      </c>
      <c r="O12" s="23">
        <f t="shared" si="5"/>
        <v>0.08333333333</v>
      </c>
      <c r="P12" s="44">
        <v>0.0</v>
      </c>
      <c r="Q12" s="45">
        <f t="shared" si="6"/>
        <v>0.08333333333</v>
      </c>
      <c r="R12" s="46">
        <f t="shared" si="7"/>
        <v>5.64516129</v>
      </c>
      <c r="S12" s="31"/>
    </row>
    <row r="13" ht="15.0" customHeight="1">
      <c r="B13" s="37"/>
      <c r="C13" s="38"/>
      <c r="D13" s="38"/>
      <c r="E13" s="39"/>
      <c r="F13" s="40"/>
      <c r="G13" s="42"/>
      <c r="H13" s="49"/>
      <c r="L13" s="19" t="s">
        <v>14</v>
      </c>
      <c r="M13" s="21">
        <v>0.6458333333333334</v>
      </c>
      <c r="N13" s="21">
        <v>0.75</v>
      </c>
      <c r="O13" s="29">
        <f t="shared" si="5"/>
        <v>0.1041666667</v>
      </c>
      <c r="P13" s="44">
        <v>0.0</v>
      </c>
      <c r="Q13" s="45">
        <f t="shared" si="6"/>
        <v>0.1041666667</v>
      </c>
      <c r="R13" s="46">
        <f t="shared" si="7"/>
        <v>7.056451613</v>
      </c>
      <c r="S13" s="31"/>
    </row>
    <row r="14" ht="15.0" customHeight="1">
      <c r="B14" s="50" t="s">
        <v>20</v>
      </c>
      <c r="C14" s="38"/>
      <c r="D14" s="38"/>
      <c r="E14" s="51"/>
      <c r="F14" s="40"/>
      <c r="G14" s="42"/>
      <c r="H14" s="52"/>
      <c r="L14" s="19" t="s">
        <v>15</v>
      </c>
      <c r="M14" s="21">
        <v>0.6666666666666666</v>
      </c>
      <c r="N14" s="21">
        <v>0.75</v>
      </c>
      <c r="O14" s="23">
        <f t="shared" si="5"/>
        <v>0.08333333333</v>
      </c>
      <c r="P14" s="44">
        <v>0.0</v>
      </c>
      <c r="Q14" s="45">
        <f t="shared" si="6"/>
        <v>0.08333333333</v>
      </c>
      <c r="R14" s="46">
        <f t="shared" si="7"/>
        <v>5.64516129</v>
      </c>
      <c r="S14" s="31"/>
    </row>
    <row r="15" ht="12.75" customHeight="1">
      <c r="B15" s="53" t="s">
        <v>21</v>
      </c>
      <c r="D15" s="6"/>
      <c r="L15" s="19" t="s">
        <v>16</v>
      </c>
      <c r="M15" s="21">
        <v>0.6666666666666666</v>
      </c>
      <c r="N15" s="21">
        <v>0.75</v>
      </c>
      <c r="O15" s="23">
        <f t="shared" si="5"/>
        <v>0.08333333333</v>
      </c>
      <c r="P15" s="44">
        <v>0.0</v>
      </c>
      <c r="Q15" s="45">
        <f t="shared" si="6"/>
        <v>0.08333333333</v>
      </c>
      <c r="R15" s="46">
        <f t="shared" si="7"/>
        <v>5.64516129</v>
      </c>
      <c r="S15" s="31"/>
    </row>
    <row r="16" ht="12.75" customHeight="1">
      <c r="B16" s="53" t="s">
        <v>22</v>
      </c>
      <c r="D16" s="6"/>
      <c r="L16" s="19" t="s">
        <v>17</v>
      </c>
      <c r="M16" s="21">
        <v>0.6666666666666666</v>
      </c>
      <c r="N16" s="21">
        <v>0.75</v>
      </c>
      <c r="O16" s="23">
        <f t="shared" si="5"/>
        <v>0.08333333333</v>
      </c>
      <c r="P16" s="44">
        <v>0.0</v>
      </c>
      <c r="Q16" s="45">
        <f t="shared" si="6"/>
        <v>0.08333333333</v>
      </c>
      <c r="R16" s="46">
        <f t="shared" si="7"/>
        <v>5.64516129</v>
      </c>
      <c r="S16" s="31"/>
    </row>
    <row r="17" ht="15.0" customHeight="1">
      <c r="B17" s="54"/>
      <c r="D17" s="6"/>
      <c r="L17" s="26" t="s">
        <v>19</v>
      </c>
      <c r="M17" s="21">
        <v>0.7083333333333334</v>
      </c>
      <c r="N17" s="21">
        <v>0.75</v>
      </c>
      <c r="O17" s="29">
        <f t="shared" si="5"/>
        <v>0.04166666667</v>
      </c>
      <c r="P17" s="44">
        <v>0.0</v>
      </c>
      <c r="Q17" s="45">
        <f t="shared" si="6"/>
        <v>0.04166666667</v>
      </c>
      <c r="R17" s="46">
        <f t="shared" si="7"/>
        <v>2.822580645</v>
      </c>
      <c r="S17" s="31"/>
    </row>
    <row r="18" ht="15.0" customHeight="1">
      <c r="B18" s="54"/>
      <c r="D18" s="6"/>
      <c r="L18" s="12" t="s">
        <v>39</v>
      </c>
      <c r="M18" s="21">
        <v>0.7083333333333334</v>
      </c>
      <c r="N18" s="21">
        <v>0.75</v>
      </c>
      <c r="O18" s="23">
        <f t="shared" si="5"/>
        <v>0.04166666667</v>
      </c>
      <c r="P18" s="44">
        <v>0.0</v>
      </c>
      <c r="Q18" s="45">
        <f t="shared" si="6"/>
        <v>0.04166666667</v>
      </c>
      <c r="R18" s="46">
        <f t="shared" si="7"/>
        <v>2.822580645</v>
      </c>
      <c r="S18" s="31"/>
    </row>
    <row r="19" ht="12.75" customHeight="1">
      <c r="C19" s="55" t="s">
        <v>23</v>
      </c>
      <c r="D19" s="55" t="s">
        <v>24</v>
      </c>
      <c r="E19" s="55" t="s">
        <v>25</v>
      </c>
      <c r="F19" s="56"/>
      <c r="L19" s="19" t="s">
        <v>12</v>
      </c>
      <c r="M19" s="21">
        <v>0.6666666666666666</v>
      </c>
      <c r="N19" s="21">
        <v>0.6666666666666666</v>
      </c>
      <c r="O19" s="23">
        <f t="shared" si="5"/>
        <v>0</v>
      </c>
      <c r="P19" s="44">
        <v>0.0</v>
      </c>
      <c r="Q19" s="45">
        <f t="shared" si="6"/>
        <v>0</v>
      </c>
      <c r="R19" s="46">
        <f t="shared" si="7"/>
        <v>0</v>
      </c>
      <c r="S19" s="31"/>
    </row>
    <row r="20" ht="15.75" customHeight="1">
      <c r="A20" s="57"/>
      <c r="B20" s="58"/>
      <c r="C20" s="59">
        <v>350.0</v>
      </c>
      <c r="D20" s="60">
        <v>120.0</v>
      </c>
      <c r="E20" s="60">
        <f>D20/2</f>
        <v>60</v>
      </c>
      <c r="F20" s="61">
        <f>C20/D20</f>
        <v>2.916666667</v>
      </c>
      <c r="G20" s="6"/>
      <c r="H20" s="6"/>
      <c r="Q20" s="108">
        <f t="shared" ref="Q20:R20" si="9">SUM(Q5:Q19)</f>
        <v>1.041666667</v>
      </c>
      <c r="R20" s="112">
        <f t="shared" si="9"/>
        <v>70.56451613</v>
      </c>
    </row>
    <row r="21" ht="12.75" customHeight="1">
      <c r="A21" s="6"/>
      <c r="B21" s="6"/>
      <c r="C21" s="6"/>
      <c r="D21" s="6"/>
      <c r="E21" s="6"/>
      <c r="F21" s="62"/>
      <c r="G21" s="6"/>
      <c r="H21" s="6"/>
    </row>
    <row r="22" ht="12.75" customHeight="1">
      <c r="A22" s="6"/>
      <c r="B22" s="63" t="s">
        <v>26</v>
      </c>
      <c r="C22" s="64"/>
      <c r="D22" s="64"/>
      <c r="E22" s="64"/>
      <c r="F22" s="64"/>
      <c r="G22" s="64"/>
      <c r="H22" s="64"/>
      <c r="I22" s="6"/>
    </row>
    <row r="23" ht="26.25" customHeight="1">
      <c r="A23" s="65"/>
      <c r="B23" s="66" t="s">
        <v>3</v>
      </c>
      <c r="C23" s="67" t="s">
        <v>27</v>
      </c>
      <c r="D23" s="67" t="s">
        <v>28</v>
      </c>
      <c r="E23" s="68" t="s">
        <v>29</v>
      </c>
      <c r="F23" s="69" t="s">
        <v>30</v>
      </c>
      <c r="G23" s="69" t="s">
        <v>31</v>
      </c>
      <c r="H23" s="69" t="s">
        <v>32</v>
      </c>
      <c r="I23" s="69" t="s">
        <v>33</v>
      </c>
      <c r="N23" s="4" t="s">
        <v>54</v>
      </c>
    </row>
    <row r="24" ht="13.5" customHeight="1">
      <c r="A24" s="6"/>
      <c r="B24" s="71" t="s">
        <v>55</v>
      </c>
      <c r="C24" s="72" t="s">
        <v>56</v>
      </c>
      <c r="D24" s="73" t="s">
        <v>36</v>
      </c>
      <c r="E24" s="74">
        <v>120.0</v>
      </c>
      <c r="F24" s="75">
        <v>60.0</v>
      </c>
      <c r="G24" s="76">
        <f>C20/4</f>
        <v>87.5</v>
      </c>
      <c r="H24" s="77">
        <v>31.0</v>
      </c>
      <c r="I24" s="78">
        <f>G24/H24</f>
        <v>2.822580645</v>
      </c>
      <c r="L24" s="10" t="s">
        <v>4</v>
      </c>
      <c r="M24" s="13" t="s">
        <v>5</v>
      </c>
      <c r="N24" s="13" t="s">
        <v>6</v>
      </c>
      <c r="O24" s="13" t="s">
        <v>7</v>
      </c>
      <c r="P24" s="15" t="s">
        <v>8</v>
      </c>
      <c r="Q24" s="17" t="s">
        <v>10</v>
      </c>
      <c r="R24" s="18" t="s">
        <v>11</v>
      </c>
      <c r="S24" s="20"/>
    </row>
    <row r="25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9" t="s">
        <v>12</v>
      </c>
      <c r="M25" s="21">
        <v>0.6666666666666666</v>
      </c>
      <c r="N25" s="21">
        <v>0.6666666666666666</v>
      </c>
      <c r="O25" s="23">
        <f t="shared" ref="O25:O39" si="10">SUM(N25-M25)</f>
        <v>0</v>
      </c>
      <c r="P25" s="24">
        <v>0.0</v>
      </c>
      <c r="Q25" s="25">
        <f t="shared" ref="Q25:Q39" si="11">O25-P25</f>
        <v>0</v>
      </c>
      <c r="R25" s="27">
        <f t="shared" ref="R25:R39" si="12">Q25*C$26*24</f>
        <v>0</v>
      </c>
      <c r="S25" s="31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79" t="s">
        <v>37</v>
      </c>
      <c r="C26" s="80">
        <f>I24</f>
        <v>2.822580645</v>
      </c>
      <c r="D26" s="6"/>
      <c r="E26" s="6"/>
      <c r="F26" s="6"/>
      <c r="G26" s="6"/>
      <c r="H26" s="6"/>
      <c r="I26" s="6"/>
      <c r="J26" s="6"/>
      <c r="K26" s="6"/>
      <c r="L26" s="19" t="s">
        <v>14</v>
      </c>
      <c r="M26" s="21">
        <v>0.6666666666666666</v>
      </c>
      <c r="N26" s="21">
        <v>0.6666666666666666</v>
      </c>
      <c r="O26" s="23">
        <f t="shared" si="10"/>
        <v>0</v>
      </c>
      <c r="P26" s="24">
        <v>0.0</v>
      </c>
      <c r="Q26" s="25">
        <f t="shared" si="11"/>
        <v>0</v>
      </c>
      <c r="R26" s="27">
        <f t="shared" si="12"/>
        <v>0</v>
      </c>
      <c r="S26" s="31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9" t="s">
        <v>15</v>
      </c>
      <c r="M27" s="21">
        <v>0.25</v>
      </c>
      <c r="N27" s="21">
        <v>0.3541666666666667</v>
      </c>
      <c r="O27" s="23">
        <f t="shared" si="10"/>
        <v>0.1041666667</v>
      </c>
      <c r="P27" s="24">
        <v>0.0</v>
      </c>
      <c r="Q27" s="25">
        <f t="shared" si="11"/>
        <v>0.1041666667</v>
      </c>
      <c r="R27" s="27">
        <f t="shared" si="12"/>
        <v>7.056451613</v>
      </c>
      <c r="S27" s="31"/>
      <c r="T27" s="6"/>
      <c r="U27" s="6"/>
      <c r="V27" s="6"/>
      <c r="W27" s="6"/>
      <c r="X27" s="6"/>
      <c r="Y27" s="6"/>
      <c r="Z27" s="6"/>
    </row>
    <row r="28" ht="13.5" customHeight="1">
      <c r="A28" s="6"/>
      <c r="B28" s="81" t="s">
        <v>38</v>
      </c>
      <c r="C28" s="82"/>
      <c r="D28" s="82"/>
      <c r="E28" s="82"/>
      <c r="F28" s="82"/>
      <c r="G28" s="82"/>
      <c r="H28" s="83"/>
      <c r="I28" s="140"/>
      <c r="J28" s="6"/>
      <c r="K28" s="6"/>
      <c r="L28" s="19" t="s">
        <v>16</v>
      </c>
      <c r="M28" s="21">
        <v>0.25</v>
      </c>
      <c r="N28" s="21">
        <v>0.3541666666666667</v>
      </c>
      <c r="O28" s="23">
        <f t="shared" si="10"/>
        <v>0.1041666667</v>
      </c>
      <c r="P28" s="24">
        <v>0.0</v>
      </c>
      <c r="Q28" s="25">
        <f t="shared" si="11"/>
        <v>0.1041666667</v>
      </c>
      <c r="R28" s="27">
        <f t="shared" si="12"/>
        <v>7.056451613</v>
      </c>
      <c r="S28" s="31"/>
      <c r="T28" s="6"/>
      <c r="U28" s="6"/>
      <c r="V28" s="6"/>
      <c r="W28" s="6"/>
      <c r="X28" s="6"/>
      <c r="Y28" s="6"/>
      <c r="Z28" s="6"/>
    </row>
    <row r="29" ht="15.0" customHeight="1">
      <c r="A29" s="6"/>
      <c r="B29" s="84" t="s">
        <v>4</v>
      </c>
      <c r="C29" s="85" t="s">
        <v>5</v>
      </c>
      <c r="D29" s="85" t="s">
        <v>6</v>
      </c>
      <c r="E29" s="85" t="s">
        <v>7</v>
      </c>
      <c r="F29" s="86" t="s">
        <v>8</v>
      </c>
      <c r="G29" s="87" t="s">
        <v>10</v>
      </c>
      <c r="H29" s="141" t="s">
        <v>41</v>
      </c>
      <c r="I29" s="143"/>
      <c r="J29" s="6"/>
      <c r="K29" s="6"/>
      <c r="L29" s="19" t="s">
        <v>17</v>
      </c>
      <c r="M29" s="21">
        <v>0.25</v>
      </c>
      <c r="N29" s="21">
        <v>0.3541666666666667</v>
      </c>
      <c r="O29" s="23">
        <f t="shared" si="10"/>
        <v>0.1041666667</v>
      </c>
      <c r="P29" s="24">
        <v>0.0</v>
      </c>
      <c r="Q29" s="25">
        <f t="shared" si="11"/>
        <v>0.1041666667</v>
      </c>
      <c r="R29" s="27">
        <f t="shared" si="12"/>
        <v>7.056451613</v>
      </c>
      <c r="S29" s="31"/>
      <c r="T29" s="6"/>
      <c r="U29" s="6"/>
      <c r="V29" s="6"/>
      <c r="W29" s="6"/>
      <c r="X29" s="6"/>
      <c r="Y29" s="6"/>
      <c r="Z29" s="6"/>
    </row>
    <row r="30" ht="15.0" customHeight="1">
      <c r="A30" s="6"/>
      <c r="B30" s="90" t="s">
        <v>12</v>
      </c>
      <c r="C30" s="21">
        <v>0.5833333333333334</v>
      </c>
      <c r="D30" s="21">
        <v>0.5833333333333334</v>
      </c>
      <c r="E30" s="23">
        <f t="shared" ref="E30:E35" si="13">SUM(D30-C30)</f>
        <v>0</v>
      </c>
      <c r="F30" s="24">
        <v>0.0</v>
      </c>
      <c r="G30" s="92">
        <f t="shared" ref="G30:G35" si="14">E30-F30</f>
        <v>0</v>
      </c>
      <c r="H30" s="153">
        <f t="shared" ref="H30:H35" si="15">SUM(G30*$C$26)*24</f>
        <v>0</v>
      </c>
      <c r="I30" s="155"/>
      <c r="J30" s="94"/>
      <c r="K30" s="6"/>
      <c r="L30" s="26" t="s">
        <v>19</v>
      </c>
      <c r="M30" s="21">
        <v>0.25</v>
      </c>
      <c r="N30" s="21">
        <v>0.375</v>
      </c>
      <c r="O30" s="29">
        <f t="shared" si="10"/>
        <v>0.125</v>
      </c>
      <c r="P30" s="24">
        <v>0.0</v>
      </c>
      <c r="Q30" s="32">
        <f t="shared" si="11"/>
        <v>0.125</v>
      </c>
      <c r="R30" s="27">
        <f t="shared" si="12"/>
        <v>8.467741935</v>
      </c>
      <c r="S30" s="43"/>
      <c r="T30" s="6"/>
      <c r="U30" s="6"/>
      <c r="V30" s="6"/>
      <c r="W30" s="6"/>
      <c r="X30" s="6"/>
      <c r="Y30" s="6"/>
      <c r="Z30" s="6"/>
    </row>
    <row r="31" ht="15.0" customHeight="1">
      <c r="A31" s="6"/>
      <c r="B31" s="90" t="s">
        <v>14</v>
      </c>
      <c r="C31" s="21">
        <v>0.6666666666666666</v>
      </c>
      <c r="D31" s="21">
        <v>0.9583333333333334</v>
      </c>
      <c r="E31" s="23">
        <f t="shared" si="13"/>
        <v>0.2916666667</v>
      </c>
      <c r="F31" s="24">
        <v>0.0</v>
      </c>
      <c r="G31" s="92">
        <f t="shared" si="14"/>
        <v>0.2916666667</v>
      </c>
      <c r="H31" s="153">
        <f t="shared" si="15"/>
        <v>19.75806452</v>
      </c>
      <c r="I31" s="155"/>
      <c r="K31" s="6"/>
      <c r="L31" s="12" t="s">
        <v>39</v>
      </c>
      <c r="M31" s="21">
        <v>0.25</v>
      </c>
      <c r="N31" s="21">
        <v>0.3958333333333333</v>
      </c>
      <c r="O31" s="23">
        <f t="shared" si="10"/>
        <v>0.1458333333</v>
      </c>
      <c r="P31" s="24">
        <v>0.0</v>
      </c>
      <c r="Q31" s="25">
        <f t="shared" si="11"/>
        <v>0.1458333333</v>
      </c>
      <c r="R31" s="27">
        <f t="shared" si="12"/>
        <v>9.879032258</v>
      </c>
      <c r="T31" s="6"/>
      <c r="U31" s="6"/>
      <c r="V31" s="6"/>
      <c r="W31" s="6"/>
      <c r="X31" s="6"/>
      <c r="Y31" s="6"/>
      <c r="Z31" s="6"/>
    </row>
    <row r="32" ht="15.0" customHeight="1">
      <c r="A32" s="6"/>
      <c r="B32" s="90" t="s">
        <v>15</v>
      </c>
      <c r="C32" s="21">
        <v>0.6666666666666666</v>
      </c>
      <c r="D32" s="21">
        <v>0.9583333333333334</v>
      </c>
      <c r="E32" s="23">
        <f t="shared" si="13"/>
        <v>0.2916666667</v>
      </c>
      <c r="F32" s="24">
        <v>0.0</v>
      </c>
      <c r="G32" s="92">
        <f t="shared" si="14"/>
        <v>0.2916666667</v>
      </c>
      <c r="H32" s="153">
        <f t="shared" si="15"/>
        <v>19.75806452</v>
      </c>
      <c r="I32" s="155"/>
      <c r="K32" s="6"/>
      <c r="L32" s="19" t="s">
        <v>12</v>
      </c>
      <c r="M32" s="21">
        <v>0.25</v>
      </c>
      <c r="N32" s="21">
        <v>0.3958333333333333</v>
      </c>
      <c r="O32" s="23">
        <f t="shared" si="10"/>
        <v>0.1458333333</v>
      </c>
      <c r="P32" s="24">
        <v>0.0</v>
      </c>
      <c r="Q32" s="25">
        <f t="shared" si="11"/>
        <v>0.1458333333</v>
      </c>
      <c r="R32" s="27">
        <f t="shared" si="12"/>
        <v>9.879032258</v>
      </c>
      <c r="T32" s="6"/>
      <c r="U32" s="6"/>
      <c r="V32" s="6"/>
      <c r="W32" s="6"/>
      <c r="X32" s="6"/>
      <c r="Y32" s="6"/>
      <c r="Z32" s="6"/>
    </row>
    <row r="33" ht="15.0" customHeight="1">
      <c r="A33" s="6"/>
      <c r="B33" s="90" t="s">
        <v>16</v>
      </c>
      <c r="C33" s="21">
        <v>0.6666666666666666</v>
      </c>
      <c r="D33" s="21">
        <v>0.9583333333333334</v>
      </c>
      <c r="E33" s="23">
        <f t="shared" si="13"/>
        <v>0.2916666667</v>
      </c>
      <c r="F33" s="24">
        <v>0.0</v>
      </c>
      <c r="G33" s="92">
        <f t="shared" si="14"/>
        <v>0.2916666667</v>
      </c>
      <c r="H33" s="153">
        <f t="shared" si="15"/>
        <v>19.75806452</v>
      </c>
      <c r="I33" s="155"/>
      <c r="K33" s="6"/>
      <c r="L33" s="19" t="s">
        <v>14</v>
      </c>
      <c r="M33" s="21">
        <v>0.25</v>
      </c>
      <c r="N33" s="21">
        <v>0.4027777777777778</v>
      </c>
      <c r="O33" s="29">
        <f t="shared" si="10"/>
        <v>0.1527777778</v>
      </c>
      <c r="P33" s="24">
        <v>0.0</v>
      </c>
      <c r="Q33" s="25">
        <f t="shared" si="11"/>
        <v>0.1527777778</v>
      </c>
      <c r="R33" s="27">
        <f t="shared" si="12"/>
        <v>10.34946237</v>
      </c>
      <c r="T33" s="6"/>
      <c r="U33" s="6"/>
      <c r="V33" s="6"/>
      <c r="W33" s="6"/>
      <c r="X33" s="6"/>
      <c r="Y33" s="6"/>
      <c r="Z33" s="6"/>
    </row>
    <row r="34" ht="15.0" customHeight="1">
      <c r="A34" s="6"/>
      <c r="B34" s="90" t="s">
        <v>17</v>
      </c>
      <c r="C34" s="21">
        <v>0.6666666666666666</v>
      </c>
      <c r="D34" s="21">
        <v>0.9583333333333334</v>
      </c>
      <c r="E34" s="23">
        <f t="shared" si="13"/>
        <v>0.2916666667</v>
      </c>
      <c r="F34" s="24">
        <v>0.0</v>
      </c>
      <c r="G34" s="92">
        <f t="shared" si="14"/>
        <v>0.2916666667</v>
      </c>
      <c r="H34" s="153">
        <f t="shared" si="15"/>
        <v>19.75806452</v>
      </c>
      <c r="I34" s="155"/>
      <c r="K34" s="6"/>
      <c r="L34" s="19" t="s">
        <v>15</v>
      </c>
      <c r="M34" s="21">
        <v>0.25</v>
      </c>
      <c r="N34" s="21">
        <v>0.4027777777777778</v>
      </c>
      <c r="O34" s="23">
        <f t="shared" si="10"/>
        <v>0.1527777778</v>
      </c>
      <c r="P34" s="24">
        <v>0.0</v>
      </c>
      <c r="Q34" s="25">
        <f t="shared" si="11"/>
        <v>0.1527777778</v>
      </c>
      <c r="R34" s="27">
        <f t="shared" si="12"/>
        <v>10.34946237</v>
      </c>
      <c r="T34" s="6"/>
      <c r="U34" s="6"/>
      <c r="V34" s="6"/>
      <c r="W34" s="6"/>
      <c r="X34" s="6"/>
      <c r="Y34" s="6"/>
      <c r="Z34" s="6"/>
    </row>
    <row r="35" ht="15.75" customHeight="1">
      <c r="A35" s="6"/>
      <c r="B35" s="26" t="s">
        <v>19</v>
      </c>
      <c r="C35" s="21">
        <v>0.375</v>
      </c>
      <c r="D35" s="21">
        <v>0.5833333333333334</v>
      </c>
      <c r="E35" s="29">
        <f t="shared" si="13"/>
        <v>0.2083333333</v>
      </c>
      <c r="F35" s="24">
        <v>0.0</v>
      </c>
      <c r="G35" s="32">
        <f t="shared" si="14"/>
        <v>0.2083333333</v>
      </c>
      <c r="H35" s="153">
        <f t="shared" si="15"/>
        <v>14.11290323</v>
      </c>
      <c r="I35" s="163"/>
      <c r="K35" s="6"/>
      <c r="L35" s="19" t="s">
        <v>16</v>
      </c>
      <c r="M35" s="21">
        <v>0.25</v>
      </c>
      <c r="N35" s="21">
        <v>0.375</v>
      </c>
      <c r="O35" s="23">
        <f t="shared" si="10"/>
        <v>0.125</v>
      </c>
      <c r="P35" s="24">
        <v>0.0</v>
      </c>
      <c r="Q35" s="25">
        <f t="shared" si="11"/>
        <v>0.125</v>
      </c>
      <c r="R35" s="27">
        <f t="shared" si="12"/>
        <v>8.467741935</v>
      </c>
      <c r="T35" s="6"/>
      <c r="U35" s="6"/>
      <c r="V35" s="6"/>
      <c r="W35" s="6"/>
      <c r="X35" s="6"/>
      <c r="Y35" s="6"/>
      <c r="Z35" s="6"/>
    </row>
    <row r="36" ht="15.75" customHeight="1">
      <c r="A36" s="6"/>
      <c r="B36" s="96"/>
      <c r="C36" s="34"/>
      <c r="D36" s="34"/>
      <c r="E36" s="35">
        <f>SUM(E30:E35)</f>
        <v>1.375</v>
      </c>
      <c r="F36" s="36"/>
      <c r="G36" s="35">
        <f t="shared" ref="G36:H36" si="16">SUM(G30:G35)</f>
        <v>1.375</v>
      </c>
      <c r="H36" s="47">
        <f t="shared" si="16"/>
        <v>93.14516129</v>
      </c>
      <c r="I36" s="163"/>
      <c r="K36" s="6"/>
      <c r="L36" s="19" t="s">
        <v>17</v>
      </c>
      <c r="M36" s="21">
        <v>0.25</v>
      </c>
      <c r="N36" s="21">
        <v>0.375</v>
      </c>
      <c r="O36" s="23">
        <f t="shared" si="10"/>
        <v>0.125</v>
      </c>
      <c r="P36" s="44">
        <v>0.0</v>
      </c>
      <c r="Q36" s="45">
        <f t="shared" si="11"/>
        <v>0.125</v>
      </c>
      <c r="R36" s="27">
        <f t="shared" si="12"/>
        <v>8.467741935</v>
      </c>
      <c r="T36" s="6"/>
      <c r="U36" s="6"/>
      <c r="V36" s="6"/>
      <c r="W36" s="6"/>
      <c r="X36" s="6"/>
      <c r="Y36" s="6"/>
      <c r="Z36" s="6"/>
    </row>
    <row r="37" ht="15.75" customHeight="1">
      <c r="A37" s="6"/>
      <c r="B37" s="98"/>
      <c r="C37" s="99"/>
      <c r="D37" s="100"/>
      <c r="E37" s="101" t="s">
        <v>44</v>
      </c>
      <c r="F37" s="102"/>
      <c r="G37" s="102"/>
      <c r="H37" s="164"/>
      <c r="I37" s="140"/>
      <c r="J37" s="6"/>
      <c r="K37" s="6"/>
      <c r="L37" s="26" t="s">
        <v>19</v>
      </c>
      <c r="M37" s="21">
        <v>0.25</v>
      </c>
      <c r="N37" s="21">
        <v>0.25</v>
      </c>
      <c r="O37" s="29">
        <f t="shared" si="10"/>
        <v>0</v>
      </c>
      <c r="P37" s="44">
        <v>0.0</v>
      </c>
      <c r="Q37" s="45">
        <f t="shared" si="11"/>
        <v>0</v>
      </c>
      <c r="R37" s="27">
        <f t="shared" si="12"/>
        <v>0</v>
      </c>
      <c r="T37" s="6"/>
      <c r="U37" s="6"/>
      <c r="V37" s="6"/>
      <c r="W37" s="6"/>
      <c r="X37" s="6"/>
      <c r="Y37" s="6"/>
      <c r="Z37" s="6"/>
    </row>
    <row r="38" ht="15.0" customHeight="1">
      <c r="A38" s="6"/>
      <c r="B38" s="98"/>
      <c r="C38" s="99"/>
      <c r="D38" s="100"/>
      <c r="E38" s="104"/>
      <c r="F38" s="100"/>
      <c r="G38" s="104"/>
      <c r="H38" s="52"/>
      <c r="I38" s="6"/>
      <c r="J38" s="6"/>
      <c r="K38" s="6"/>
      <c r="L38" s="12" t="s">
        <v>39</v>
      </c>
      <c r="M38" s="21">
        <v>0.25</v>
      </c>
      <c r="N38" s="21">
        <v>0.25</v>
      </c>
      <c r="O38" s="23">
        <f t="shared" si="10"/>
        <v>0</v>
      </c>
      <c r="P38" s="44">
        <v>0.0</v>
      </c>
      <c r="Q38" s="45">
        <f t="shared" si="11"/>
        <v>0</v>
      </c>
      <c r="R38" s="27">
        <f t="shared" si="12"/>
        <v>0</v>
      </c>
      <c r="T38" s="6"/>
      <c r="U38" s="6"/>
      <c r="V38" s="6"/>
      <c r="W38" s="6"/>
      <c r="X38" s="6"/>
      <c r="Y38" s="6"/>
      <c r="Z38" s="6"/>
    </row>
    <row r="39" ht="12.75" customHeight="1">
      <c r="L39" s="19" t="s">
        <v>12</v>
      </c>
      <c r="M39" s="21">
        <v>0.25</v>
      </c>
      <c r="N39" s="21">
        <v>0.625</v>
      </c>
      <c r="O39" s="23">
        <f t="shared" si="10"/>
        <v>0.375</v>
      </c>
      <c r="P39" s="44">
        <v>0.0</v>
      </c>
      <c r="Q39" s="45">
        <f t="shared" si="11"/>
        <v>0.375</v>
      </c>
      <c r="R39" s="27">
        <f t="shared" si="12"/>
        <v>25.40322581</v>
      </c>
    </row>
    <row r="40" ht="12.75" customHeight="1">
      <c r="B40" s="113" t="s">
        <v>45</v>
      </c>
      <c r="C40" s="165"/>
      <c r="D40" s="165"/>
      <c r="E40" s="165"/>
      <c r="F40" s="165"/>
      <c r="G40" s="165"/>
      <c r="H40" s="165"/>
      <c r="I40" s="160"/>
      <c r="Q40" s="108">
        <f t="shared" ref="Q40:R40" si="17">SUM(Q25:Q39)</f>
        <v>1.659722222</v>
      </c>
      <c r="R40" s="112">
        <f t="shared" si="17"/>
        <v>112.4327957</v>
      </c>
    </row>
    <row r="41" ht="16.5" customHeight="1">
      <c r="B41" s="166" t="s">
        <v>66</v>
      </c>
      <c r="C41" s="106"/>
      <c r="D41" s="106"/>
      <c r="E41" s="106"/>
      <c r="F41" s="106"/>
      <c r="G41" s="106"/>
      <c r="H41" s="106"/>
      <c r="I41" s="107"/>
    </row>
    <row r="42" ht="14.25" customHeight="1">
      <c r="B42" s="167" t="s">
        <v>47</v>
      </c>
      <c r="C42" s="168" t="s">
        <v>48</v>
      </c>
      <c r="D42" s="126"/>
      <c r="E42" s="162"/>
      <c r="F42" s="169" t="s">
        <v>49</v>
      </c>
      <c r="G42" s="169" t="s">
        <v>50</v>
      </c>
      <c r="H42" s="169" t="s">
        <v>51</v>
      </c>
      <c r="I42" s="170" t="s">
        <v>52</v>
      </c>
      <c r="M42" s="12" t="s">
        <v>67</v>
      </c>
    </row>
    <row r="43" ht="17.25" customHeight="1">
      <c r="B43" s="171">
        <v>45394.0</v>
      </c>
      <c r="C43" s="161" t="s">
        <v>68</v>
      </c>
      <c r="D43" s="126"/>
      <c r="E43" s="162"/>
      <c r="F43" s="172">
        <v>87.5</v>
      </c>
      <c r="G43" s="173"/>
      <c r="H43" s="173">
        <f>F43</f>
        <v>87.5</v>
      </c>
      <c r="I43" s="174"/>
      <c r="M43" s="19" t="s">
        <v>16</v>
      </c>
      <c r="Q43" s="112">
        <f>SUM(R20+R40)</f>
        <v>182.9973118</v>
      </c>
    </row>
    <row r="44" ht="18.75" customHeight="1">
      <c r="B44" s="171">
        <v>45396.0</v>
      </c>
      <c r="C44" s="161" t="s">
        <v>69</v>
      </c>
      <c r="D44" s="126"/>
      <c r="E44" s="162"/>
      <c r="F44" s="173"/>
      <c r="G44" s="172">
        <v>87.5</v>
      </c>
      <c r="H44" s="173">
        <f t="shared" ref="H44:H48" si="18">H43+F44-G44</f>
        <v>0</v>
      </c>
      <c r="I44" s="174"/>
      <c r="M44" s="19" t="s">
        <v>17</v>
      </c>
    </row>
    <row r="45" ht="21.0" customHeight="1">
      <c r="B45" s="171">
        <v>45397.0</v>
      </c>
      <c r="C45" s="161" t="s">
        <v>70</v>
      </c>
      <c r="D45" s="126"/>
      <c r="E45" s="162"/>
      <c r="F45" s="172">
        <v>87.5</v>
      </c>
      <c r="G45" s="173"/>
      <c r="H45" s="173">
        <f t="shared" si="18"/>
        <v>87.5</v>
      </c>
      <c r="I45" s="174"/>
      <c r="J45" s="12" t="s">
        <v>71</v>
      </c>
      <c r="M45" s="26" t="s">
        <v>19</v>
      </c>
    </row>
    <row r="46" ht="12.75" customHeight="1">
      <c r="B46" s="171">
        <v>45401.0</v>
      </c>
      <c r="C46" s="161" t="s">
        <v>72</v>
      </c>
      <c r="D46" s="126"/>
      <c r="E46" s="162"/>
      <c r="F46" s="173"/>
      <c r="G46" s="172">
        <v>150.0</v>
      </c>
      <c r="H46" s="173">
        <f t="shared" si="18"/>
        <v>-62.5</v>
      </c>
      <c r="I46" s="174"/>
      <c r="M46" s="26" t="s">
        <v>73</v>
      </c>
    </row>
    <row r="47" ht="12.75" customHeight="1">
      <c r="B47" s="171">
        <v>45415.0</v>
      </c>
      <c r="C47" s="161" t="s">
        <v>74</v>
      </c>
      <c r="D47" s="126"/>
      <c r="E47" s="162"/>
      <c r="F47" s="172">
        <v>87.5</v>
      </c>
      <c r="G47" s="175"/>
      <c r="H47" s="173">
        <f t="shared" si="18"/>
        <v>25</v>
      </c>
      <c r="I47" s="174"/>
      <c r="M47" s="19" t="s">
        <v>12</v>
      </c>
    </row>
    <row r="48" ht="12.75" customHeight="1">
      <c r="B48" s="171">
        <v>45409.0</v>
      </c>
      <c r="C48" s="161" t="s">
        <v>63</v>
      </c>
      <c r="D48" s="126"/>
      <c r="E48" s="162"/>
      <c r="F48" s="173"/>
      <c r="G48" s="175">
        <v>50.0</v>
      </c>
      <c r="H48" s="173">
        <f t="shared" si="18"/>
        <v>-25</v>
      </c>
      <c r="I48" s="174"/>
    </row>
    <row r="49" ht="12.75" customHeight="1">
      <c r="B49" s="176">
        <v>45415.0</v>
      </c>
      <c r="C49" s="161" t="s">
        <v>75</v>
      </c>
      <c r="D49" s="126"/>
      <c r="E49" s="162"/>
      <c r="F49" s="173">
        <v>87.5</v>
      </c>
      <c r="G49" s="173"/>
      <c r="H49" s="173"/>
      <c r="I49" s="174"/>
    </row>
    <row r="50" ht="12.75" customHeight="1">
      <c r="B50" s="176">
        <v>45415.0</v>
      </c>
      <c r="C50" s="161" t="s">
        <v>76</v>
      </c>
      <c r="D50" s="126"/>
      <c r="E50" s="162"/>
      <c r="F50" s="173">
        <v>189.1</v>
      </c>
      <c r="G50" s="173"/>
      <c r="H50" s="173"/>
      <c r="I50" s="174"/>
    </row>
    <row r="51" ht="12.75" customHeight="1">
      <c r="B51" s="176">
        <v>45415.0</v>
      </c>
      <c r="C51" s="161" t="s">
        <v>67</v>
      </c>
      <c r="D51" s="126"/>
      <c r="E51" s="162"/>
      <c r="F51" s="173">
        <v>30.0</v>
      </c>
      <c r="G51" s="173"/>
      <c r="H51" s="173"/>
      <c r="I51" s="174"/>
    </row>
    <row r="52" ht="12.75" customHeight="1">
      <c r="B52" s="171"/>
      <c r="C52" s="161"/>
      <c r="D52" s="126"/>
      <c r="E52" s="162"/>
      <c r="F52" s="173"/>
      <c r="G52" s="173"/>
      <c r="H52" s="173">
        <f>F52-G52</f>
        <v>0</v>
      </c>
      <c r="I52" s="174"/>
    </row>
    <row r="53" ht="12.75" customHeight="1">
      <c r="B53" s="171">
        <v>45422.0</v>
      </c>
      <c r="C53" s="161" t="s">
        <v>77</v>
      </c>
      <c r="D53" s="126"/>
      <c r="E53" s="162"/>
      <c r="F53" s="173">
        <v>98.79</v>
      </c>
      <c r="G53" s="173"/>
      <c r="H53" s="173">
        <f t="shared" ref="H53:H62" si="19">H52+F53-G53</f>
        <v>98.79</v>
      </c>
      <c r="I53" s="174"/>
      <c r="J53" s="12" t="s">
        <v>78</v>
      </c>
    </row>
    <row r="54" ht="12.75" customHeight="1">
      <c r="B54" s="171">
        <v>45424.0</v>
      </c>
      <c r="C54" s="161" t="s">
        <v>79</v>
      </c>
      <c r="D54" s="126"/>
      <c r="E54" s="162"/>
      <c r="F54" s="173"/>
      <c r="G54" s="173">
        <v>84.68</v>
      </c>
      <c r="H54" s="173">
        <f t="shared" si="19"/>
        <v>14.11</v>
      </c>
      <c r="I54" s="174"/>
      <c r="M54" s="177"/>
      <c r="N54" s="178"/>
    </row>
    <row r="55" ht="12.75" customHeight="1">
      <c r="B55" s="171">
        <v>45429.0</v>
      </c>
      <c r="C55" s="161" t="s">
        <v>80</v>
      </c>
      <c r="D55" s="126"/>
      <c r="E55" s="162"/>
      <c r="F55" s="173">
        <v>112.9</v>
      </c>
      <c r="G55" s="173"/>
      <c r="H55" s="173">
        <f t="shared" si="19"/>
        <v>127.01</v>
      </c>
      <c r="I55" s="174"/>
    </row>
    <row r="56" ht="12.75" customHeight="1">
      <c r="B56" s="171">
        <v>45431.0</v>
      </c>
      <c r="C56" s="161" t="s">
        <v>79</v>
      </c>
      <c r="D56" s="126"/>
      <c r="E56" s="162"/>
      <c r="F56" s="173"/>
      <c r="G56" s="173">
        <v>84.68</v>
      </c>
      <c r="H56" s="173">
        <f t="shared" si="19"/>
        <v>42.33</v>
      </c>
      <c r="I56" s="174"/>
    </row>
    <row r="57" ht="12.75" customHeight="1">
      <c r="B57" s="171">
        <v>45436.0</v>
      </c>
      <c r="C57" s="161" t="s">
        <v>81</v>
      </c>
      <c r="D57" s="126"/>
      <c r="E57" s="162"/>
      <c r="F57" s="173">
        <v>112.9</v>
      </c>
      <c r="G57" s="173"/>
      <c r="H57" s="173">
        <f t="shared" si="19"/>
        <v>155.23</v>
      </c>
      <c r="I57" s="174"/>
    </row>
    <row r="58" ht="12.75" customHeight="1">
      <c r="B58" s="171">
        <v>45438.0</v>
      </c>
      <c r="C58" s="161" t="s">
        <v>63</v>
      </c>
      <c r="D58" s="126"/>
      <c r="E58" s="162"/>
      <c r="F58" s="173"/>
      <c r="G58" s="173">
        <v>84.68</v>
      </c>
      <c r="H58" s="173">
        <f t="shared" si="19"/>
        <v>70.55</v>
      </c>
      <c r="I58" s="174"/>
    </row>
    <row r="59" ht="12.75" customHeight="1">
      <c r="B59" s="171">
        <v>45443.0</v>
      </c>
      <c r="C59" s="161" t="s">
        <v>64</v>
      </c>
      <c r="D59" s="126"/>
      <c r="E59" s="162"/>
      <c r="F59" s="173">
        <v>112.9</v>
      </c>
      <c r="G59" s="173"/>
      <c r="H59" s="173">
        <f t="shared" si="19"/>
        <v>183.45</v>
      </c>
      <c r="I59" s="174"/>
    </row>
    <row r="60" ht="15.75" customHeight="1">
      <c r="B60" s="171">
        <v>45443.0</v>
      </c>
      <c r="C60" s="161" t="s">
        <v>82</v>
      </c>
      <c r="D60" s="126"/>
      <c r="E60" s="162"/>
      <c r="F60" s="173"/>
      <c r="G60" s="173">
        <v>50.0</v>
      </c>
      <c r="H60" s="173">
        <f t="shared" si="19"/>
        <v>133.45</v>
      </c>
      <c r="I60" s="174"/>
      <c r="J60" s="12" t="s">
        <v>83</v>
      </c>
    </row>
    <row r="61" ht="15.75" customHeight="1">
      <c r="B61" s="171">
        <v>45450.0</v>
      </c>
      <c r="C61" s="179" t="s">
        <v>65</v>
      </c>
      <c r="D61" s="179"/>
      <c r="E61" s="179"/>
      <c r="F61" s="173">
        <v>112.9</v>
      </c>
      <c r="G61" s="173"/>
      <c r="H61" s="173">
        <f t="shared" si="19"/>
        <v>246.35</v>
      </c>
      <c r="I61" s="174"/>
      <c r="J61" s="12"/>
    </row>
    <row r="62" ht="15.75" customHeight="1">
      <c r="B62" s="171">
        <v>45452.0</v>
      </c>
      <c r="C62" s="179" t="s">
        <v>63</v>
      </c>
      <c r="D62" s="179"/>
      <c r="E62" s="179"/>
      <c r="F62" s="173"/>
      <c r="G62" s="173">
        <v>87.5</v>
      </c>
      <c r="H62" s="173">
        <f t="shared" si="19"/>
        <v>158.85</v>
      </c>
      <c r="I62" s="174"/>
      <c r="J62" s="12"/>
    </row>
    <row r="63" ht="15.75" customHeight="1">
      <c r="B63" s="171"/>
      <c r="C63" s="179"/>
      <c r="D63" s="179"/>
      <c r="E63" s="179"/>
      <c r="F63" s="173"/>
      <c r="G63" s="173"/>
      <c r="H63" s="173"/>
      <c r="I63" s="174"/>
      <c r="J63" s="12"/>
    </row>
    <row r="64" ht="15.75" customHeight="1">
      <c r="B64" s="171"/>
      <c r="C64" s="179"/>
      <c r="D64" s="179"/>
      <c r="E64" s="179"/>
      <c r="F64" s="173"/>
      <c r="G64" s="173"/>
      <c r="H64" s="173"/>
      <c r="I64" s="174"/>
      <c r="J64" s="12"/>
    </row>
    <row r="65" ht="15.75" customHeight="1">
      <c r="B65" s="171"/>
      <c r="C65" s="179"/>
      <c r="D65" s="179"/>
      <c r="E65" s="179"/>
      <c r="F65" s="173"/>
      <c r="G65" s="173"/>
      <c r="H65" s="173"/>
      <c r="I65" s="174"/>
      <c r="J65" s="12"/>
    </row>
    <row r="66" ht="15.75" customHeight="1">
      <c r="B66" s="171"/>
      <c r="C66" s="179"/>
      <c r="D66" s="179"/>
      <c r="E66" s="179"/>
      <c r="F66" s="173"/>
      <c r="G66" s="173"/>
      <c r="H66" s="173"/>
      <c r="I66" s="174"/>
      <c r="J66" s="12"/>
    </row>
    <row r="67" ht="15.75" customHeight="1">
      <c r="B67" s="171"/>
      <c r="C67" s="179"/>
      <c r="D67" s="179"/>
      <c r="E67" s="179"/>
      <c r="F67" s="173"/>
      <c r="G67" s="173"/>
      <c r="H67" s="173"/>
      <c r="I67" s="174"/>
      <c r="J67" s="12"/>
    </row>
    <row r="68" ht="15.75" customHeight="1">
      <c r="B68" s="180"/>
      <c r="C68" s="181"/>
      <c r="D68" s="181"/>
      <c r="E68" s="181"/>
      <c r="F68" s="182"/>
      <c r="G68" s="182"/>
      <c r="H68" s="182"/>
      <c r="I68" s="183"/>
      <c r="J68" s="12"/>
    </row>
    <row r="69" ht="18.0" customHeight="1">
      <c r="B69" s="148"/>
      <c r="C69" s="149"/>
      <c r="F69" s="184">
        <f t="shared" ref="F69:G69" si="20">SUM(F43:F60)</f>
        <v>1006.59</v>
      </c>
      <c r="G69" s="185">
        <f t="shared" si="20"/>
        <v>591.54</v>
      </c>
      <c r="H69" s="186">
        <f>H62+F69-G69</f>
        <v>573.9</v>
      </c>
      <c r="I69" s="154" t="s">
        <v>61</v>
      </c>
    </row>
    <row r="70" ht="18.0" customHeight="1">
      <c r="B70" s="156"/>
      <c r="D70" s="157"/>
      <c r="E70" s="157"/>
      <c r="F70" s="159" t="s">
        <v>62</v>
      </c>
      <c r="G70" s="160"/>
      <c r="H70" s="187">
        <f>H62</f>
        <v>158.85</v>
      </c>
    </row>
    <row r="71" ht="9.0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D2:F2"/>
    <mergeCell ref="N2:P2"/>
    <mergeCell ref="B22:H22"/>
    <mergeCell ref="N23:P23"/>
    <mergeCell ref="B28:H28"/>
    <mergeCell ref="J30:J36"/>
    <mergeCell ref="E37:G37"/>
    <mergeCell ref="B40:I40"/>
    <mergeCell ref="B41:I41"/>
    <mergeCell ref="C42:E42"/>
    <mergeCell ref="M42:N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60:E60"/>
    <mergeCell ref="I69:I70"/>
    <mergeCell ref="F70:G70"/>
    <mergeCell ref="C53:E53"/>
    <mergeCell ref="C54:E54"/>
    <mergeCell ref="C55:E55"/>
    <mergeCell ref="C56:E56"/>
    <mergeCell ref="C57:E57"/>
    <mergeCell ref="C58:E58"/>
    <mergeCell ref="C59:E59"/>
  </mergeCells>
  <printOptions/>
  <pageMargins bottom="0.75" footer="0.0" header="0.0" left="0.7" right="0.7" top="0.75"/>
  <pageSetup paperSize="9" orientation="landscape"/>
  <headerFooter>
    <oddHeader>&amp;C&amp;D</oddHeader>
  </headerFooter>
  <drawing r:id="rId1"/>
</worksheet>
</file>